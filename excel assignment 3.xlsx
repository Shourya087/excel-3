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a3e5b4b474db6d4/Desktop/"/>
    </mc:Choice>
  </mc:AlternateContent>
  <xr:revisionPtr revIDLastSave="0" documentId="8_{B626A93F-0007-4F98-A014-DB6AEF5465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" sheetId="1" r:id="rId1"/>
    <sheet name="2" sheetId="3" r:id="rId2"/>
    <sheet name="3" sheetId="2" r:id="rId3"/>
    <sheet name="4" sheetId="4" r:id="rId4"/>
    <sheet name="5" sheetId="5" r:id="rId5"/>
    <sheet name="6" sheetId="6" r:id="rId6"/>
  </sheets>
  <definedNames>
    <definedName name="_xlnm._FilterDatabase" localSheetId="4" hidden="1">'5'!$A$1:$J$26</definedName>
  </definedNames>
  <calcPr calcId="191029"/>
  <pivotCaches>
    <pivotCache cacheId="2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6" l="1"/>
  <c r="D29" i="6"/>
  <c r="H8" i="6"/>
  <c r="H5" i="6"/>
  <c r="H2" i="6"/>
  <c r="H7" i="6"/>
  <c r="H6" i="6"/>
  <c r="H3" i="6"/>
  <c r="H4" i="6"/>
  <c r="H9" i="6"/>
  <c r="H11" i="6"/>
  <c r="H16" i="6"/>
  <c r="H14" i="6"/>
  <c r="H13" i="6"/>
  <c r="H12" i="6"/>
  <c r="H10" i="6"/>
  <c r="H15" i="6"/>
  <c r="H22" i="6"/>
  <c r="H21" i="6"/>
  <c r="H20" i="6"/>
  <c r="H24" i="6"/>
  <c r="H18" i="6"/>
  <c r="H19" i="6"/>
  <c r="H17" i="6"/>
  <c r="H26" i="6"/>
  <c r="H25" i="6"/>
  <c r="H23" i="6"/>
  <c r="E29" i="5"/>
  <c r="I2" i="4"/>
  <c r="H2" i="4"/>
  <c r="H11" i="2"/>
  <c r="H2" i="2"/>
  <c r="H18" i="2"/>
  <c r="H6" i="2"/>
  <c r="H24" i="2"/>
  <c r="H13" i="2"/>
  <c r="H10" i="2"/>
  <c r="H20" i="2"/>
  <c r="H3" i="2"/>
  <c r="H12" i="2"/>
  <c r="H17" i="2"/>
  <c r="H5" i="2"/>
  <c r="H22" i="2"/>
  <c r="H15" i="2"/>
  <c r="H9" i="2"/>
  <c r="H25" i="2"/>
  <c r="H19" i="2"/>
  <c r="H4" i="2"/>
  <c r="H14" i="2"/>
  <c r="H16" i="2"/>
  <c r="H26" i="2"/>
  <c r="H21" i="2"/>
  <c r="H8" i="2"/>
  <c r="H23" i="2"/>
  <c r="H7" i="2"/>
</calcChain>
</file>

<file path=xl/sharedStrings.xml><?xml version="1.0" encoding="utf-8"?>
<sst xmlns="http://schemas.openxmlformats.org/spreadsheetml/2006/main" count="301" uniqueCount="48">
  <si>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</si>
  <si>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</si>
  <si>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</si>
  <si>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</si>
  <si>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</si>
  <si>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</si>
  <si>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</si>
  <si>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</si>
  <si>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</si>
  <si>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</si>
  <si>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</si>
  <si>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</si>
  <si>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</si>
  <si>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</si>
  <si>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</si>
  <si>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</si>
  <si>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</si>
  <si>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</si>
  <si>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</si>
  <si>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</si>
  <si>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</si>
  <si>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</si>
  <si>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</si>
  <si>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</si>
  <si>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</si>
  <si>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</si>
  <si>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</si>
  <si>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</si>
  <si>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</si>
  <si>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</si>
  <si>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</si>
  <si>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</si>
  <si>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</si>
  <si>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</si>
  <si>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</si>
  <si>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</si>
  <si>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</si>
  <si>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Grand Total</t>
  </si>
  <si>
    <t>StdDevp of Productivity_Score</t>
  </si>
  <si>
    <t>Departments</t>
  </si>
  <si>
    <t>PEI (Productivity Efficiency Index)</t>
  </si>
  <si>
    <t>cor with hours worked</t>
  </si>
  <si>
    <t>cor with task completed</t>
  </si>
  <si>
    <t>STRONGER INFLUENCE IS OF TASK COMPLETED</t>
  </si>
  <si>
    <t>average of hours worked</t>
  </si>
  <si>
    <t>Tasks_per_hour</t>
  </si>
  <si>
    <t>max tasks per hour</t>
  </si>
  <si>
    <t>performace score of most task efficient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</si>
</sst>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'1'!$D$1</c:f>
              <c:strCache>
                <c:ptCount val="1"/>
                <c:pt idx="0">
                  <c:v>Hours_Worked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'1'!$A$2:$C$6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'1'!$D$2:$D$6</c:f>
              <c:numCache>
                <c:formatCode>General</c:formatCode>
                <c:ptCount val="5"/>
                <c:pt idx="0">
                  <c:v>50</c:v>
                </c:pt>
                <c:pt idx="1">
                  <c:v>47</c:v>
                </c:pt>
                <c:pt idx="2">
                  <c:v>48</c:v>
                </c:pt>
                <c:pt idx="3">
                  <c:v>46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1-4E3B-A441-AFE3DE0B7B67}"/>
            </c:ext>
          </c:extLst>
        </c:ser>
        <c:ser>
          <c:idx val="1"/>
          <c:order val="1"/>
          <c:tx>
            <c:strRef>
              <c:f>'1'!$E$1</c:f>
              <c:strCache>
                <c:ptCount val="1"/>
                <c:pt idx="0">
                  <c:v>Tasks_Completed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'1'!$A$2:$C$6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'1'!$E$2:$E$6</c:f>
              <c:numCache>
                <c:formatCode>General</c:formatCode>
                <c:ptCount val="5"/>
                <c:pt idx="0">
                  <c:v>80</c:v>
                </c:pt>
                <c:pt idx="1">
                  <c:v>79</c:v>
                </c:pt>
                <c:pt idx="2">
                  <c:v>78</c:v>
                </c:pt>
                <c:pt idx="3">
                  <c:v>77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1-4E3B-A441-AFE3DE0B7B67}"/>
            </c:ext>
          </c:extLst>
        </c:ser>
        <c:ser>
          <c:idx val="2"/>
          <c:order val="2"/>
          <c:tx>
            <c:strRef>
              <c:f>'1'!$F$1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'1'!$A$2:$C$6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'1'!$F$2:$F$6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1-4E3B-A441-AFE3DE0B7B67}"/>
            </c:ext>
          </c:extLst>
        </c:ser>
        <c:ser>
          <c:idx val="3"/>
          <c:order val="3"/>
          <c:tx>
            <c:strRef>
              <c:f>'1'!$G$1</c:f>
              <c:strCache>
                <c:ptCount val="1"/>
                <c:pt idx="0">
                  <c:v>Performance_Rating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'1'!$A$2:$C$6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'1'!$G$2:$G$6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31-4E3B-A441-AFE3DE0B7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365744"/>
        <c:axId val="2067364784"/>
      </c:barChart>
      <c:catAx>
        <c:axId val="206736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64784"/>
        <c:crosses val="autoZero"/>
        <c:auto val="1"/>
        <c:lblAlgn val="ctr"/>
        <c:lblOffset val="100"/>
        <c:noMultiLvlLbl val="0"/>
      </c:catAx>
      <c:valAx>
        <c:axId val="206736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6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53105861767276E-2"/>
          <c:y val="0.16712962962962963"/>
          <c:w val="0.87427755905511806"/>
          <c:h val="0.629492927967337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'4'!$D$1</c:f>
              <c:strCache>
                <c:ptCount val="1"/>
                <c:pt idx="0">
                  <c:v>Hours_Worked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'4'!$A$2:$C$26</c:f>
              <c:multiLvlStrCache>
                <c:ptCount val="25"/>
                <c:lvl>
                  <c:pt idx="0">
                    <c:v>Sales</c:v>
                  </c:pt>
                  <c:pt idx="1">
                    <c:v>Marketing</c:v>
                  </c:pt>
                  <c:pt idx="2">
                    <c:v>HR</c:v>
                  </c:pt>
                  <c:pt idx="3">
                    <c:v>IT</c:v>
                  </c:pt>
                  <c:pt idx="4">
                    <c:v>Finance</c:v>
                  </c:pt>
                  <c:pt idx="5">
                    <c:v>Sales</c:v>
                  </c:pt>
                  <c:pt idx="6">
                    <c:v>IT</c:v>
                  </c:pt>
                  <c:pt idx="7">
                    <c:v>HR</c:v>
                  </c:pt>
                  <c:pt idx="8">
                    <c:v>Marketing</c:v>
                  </c:pt>
                  <c:pt idx="9">
                    <c:v>Sales</c:v>
                  </c:pt>
                  <c:pt idx="10">
                    <c:v>Finance</c:v>
                  </c:pt>
                  <c:pt idx="11">
                    <c:v>Marketing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HR</c:v>
                  </c:pt>
                  <c:pt idx="17">
                    <c:v>Marketing</c:v>
                  </c:pt>
                  <c:pt idx="18">
                    <c:v>IT</c:v>
                  </c:pt>
                  <c:pt idx="19">
                    <c:v>Sales</c:v>
                  </c:pt>
                  <c:pt idx="20">
                    <c:v>Finance</c:v>
                  </c:pt>
                  <c:pt idx="21">
                    <c:v>HR</c:v>
                  </c:pt>
                  <c:pt idx="22">
                    <c:v>Marketing</c:v>
                  </c:pt>
                  <c:pt idx="23">
                    <c:v>Sales</c:v>
                  </c:pt>
                  <c:pt idx="24">
                    <c:v>IT</c:v>
                  </c:pt>
                </c:lvl>
                <c:lvl>
                  <c:pt idx="0">
                    <c:v>Aakash</c:v>
                  </c:pt>
                  <c:pt idx="1">
                    <c:v>Meera</c:v>
                  </c:pt>
                  <c:pt idx="2">
                    <c:v>Suresh</c:v>
                  </c:pt>
                  <c:pt idx="3">
                    <c:v>Riya</c:v>
                  </c:pt>
                  <c:pt idx="4">
                    <c:v>Prakash</c:v>
                  </c:pt>
                  <c:pt idx="5">
                    <c:v>Neha</c:v>
                  </c:pt>
                  <c:pt idx="6">
                    <c:v>Rahul</c:v>
                  </c:pt>
                  <c:pt idx="7">
                    <c:v>Priya</c:v>
                  </c:pt>
                  <c:pt idx="8">
                    <c:v>Kunal</c:v>
                  </c:pt>
                  <c:pt idx="9">
                    <c:v>Sneha</c:v>
                  </c:pt>
                  <c:pt idx="10">
                    <c:v>Amit</c:v>
                  </c:pt>
                  <c:pt idx="11">
                    <c:v>Pooja</c:v>
                  </c:pt>
                  <c:pt idx="12">
                    <c:v>Varun</c:v>
                  </c:pt>
                  <c:pt idx="13">
                    <c:v>Deepak</c:v>
                  </c:pt>
                  <c:pt idx="14">
                    <c:v>Rakesh</c:v>
                  </c:pt>
                  <c:pt idx="15">
                    <c:v>Kavita</c:v>
                  </c:pt>
                  <c:pt idx="16">
                    <c:v>Sanjay</c:v>
                  </c:pt>
                  <c:pt idx="17">
                    <c:v>Arjun</c:v>
                  </c:pt>
                  <c:pt idx="18">
                    <c:v>Anjali</c:v>
                  </c:pt>
                  <c:pt idx="19">
                    <c:v>Suman</c:v>
                  </c:pt>
                  <c:pt idx="20">
                    <c:v>Mohan</c:v>
                  </c:pt>
                  <c:pt idx="21">
                    <c:v>Jyoti</c:v>
                  </c:pt>
                  <c:pt idx="22">
                    <c:v>Neeraj</c:v>
                  </c:pt>
                  <c:pt idx="23">
                    <c:v>Akash</c:v>
                  </c:pt>
                  <c:pt idx="24">
                    <c:v>Tanya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  <c:pt idx="10">
                    <c:v>111</c:v>
                  </c:pt>
                  <c:pt idx="11">
                    <c:v>112</c:v>
                  </c:pt>
                  <c:pt idx="12">
                    <c:v>113</c:v>
                  </c:pt>
                  <c:pt idx="13">
                    <c:v>114</c:v>
                  </c:pt>
                  <c:pt idx="14">
                    <c:v>115</c:v>
                  </c:pt>
                  <c:pt idx="15">
                    <c:v>116</c:v>
                  </c:pt>
                  <c:pt idx="16">
                    <c:v>117</c:v>
                  </c:pt>
                  <c:pt idx="17">
                    <c:v>118</c:v>
                  </c:pt>
                  <c:pt idx="18">
                    <c:v>119</c:v>
                  </c:pt>
                  <c:pt idx="19">
                    <c:v>120</c:v>
                  </c:pt>
                  <c:pt idx="20">
                    <c:v>121</c:v>
                  </c:pt>
                  <c:pt idx="21">
                    <c:v>122</c:v>
                  </c:pt>
                  <c:pt idx="22">
                    <c:v>123</c:v>
                  </c:pt>
                  <c:pt idx="23">
                    <c:v>124</c:v>
                  </c:pt>
                  <c:pt idx="24">
                    <c:v>125</c:v>
                  </c:pt>
                </c:lvl>
              </c:multiLvlStrCache>
            </c:multiLvlStrRef>
          </c:xVal>
          <c:yVal>
            <c:numRef>
              <c:f>'4'!$D$2:$D$26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C-4D7B-A63F-F77A77283544}"/>
            </c:ext>
          </c:extLst>
        </c:ser>
        <c:ser>
          <c:idx val="1"/>
          <c:order val="1"/>
          <c:tx>
            <c:strRef>
              <c:f>'4'!$F$1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'4'!$A$2:$D$26</c:f>
              <c:multiLvlStrCache>
                <c:ptCount val="25"/>
                <c:lvl>
                  <c:pt idx="0">
                    <c:v>35</c:v>
                  </c:pt>
                  <c:pt idx="1">
                    <c:v>40</c:v>
                  </c:pt>
                  <c:pt idx="2">
                    <c:v>30</c:v>
                  </c:pt>
                  <c:pt idx="3">
                    <c:v>45</c:v>
                  </c:pt>
                  <c:pt idx="4">
                    <c:v>25</c:v>
                  </c:pt>
                  <c:pt idx="5">
                    <c:v>38</c:v>
                  </c:pt>
                  <c:pt idx="6">
                    <c:v>50</c:v>
                  </c:pt>
                  <c:pt idx="7">
                    <c:v>28</c:v>
                  </c:pt>
                  <c:pt idx="8">
                    <c:v>42</c:v>
                  </c:pt>
                  <c:pt idx="9">
                    <c:v>37</c:v>
                  </c:pt>
                  <c:pt idx="10">
                    <c:v>29</c:v>
                  </c:pt>
                  <c:pt idx="11">
                    <c:v>44</c:v>
                  </c:pt>
                  <c:pt idx="12">
                    <c:v>33</c:v>
                  </c:pt>
                  <c:pt idx="13">
                    <c:v>41</c:v>
                  </c:pt>
                  <c:pt idx="14">
                    <c:v>48</c:v>
                  </c:pt>
                  <c:pt idx="15">
                    <c:v>26</c:v>
                  </c:pt>
                  <c:pt idx="16">
                    <c:v>31</c:v>
                  </c:pt>
                  <c:pt idx="17">
                    <c:v>43</c:v>
                  </c:pt>
                  <c:pt idx="18">
                    <c:v>39</c:v>
                  </c:pt>
                  <c:pt idx="19">
                    <c:v>36</c:v>
                  </c:pt>
                  <c:pt idx="20">
                    <c:v>27</c:v>
                  </c:pt>
                  <c:pt idx="21">
                    <c:v>32</c:v>
                  </c:pt>
                  <c:pt idx="22">
                    <c:v>46</c:v>
                  </c:pt>
                  <c:pt idx="23">
                    <c:v>34</c:v>
                  </c:pt>
                  <c:pt idx="24">
                    <c:v>47</c:v>
                  </c:pt>
                </c:lvl>
                <c:lvl>
                  <c:pt idx="0">
                    <c:v>Sales</c:v>
                  </c:pt>
                  <c:pt idx="1">
                    <c:v>Marketing</c:v>
                  </c:pt>
                  <c:pt idx="2">
                    <c:v>HR</c:v>
                  </c:pt>
                  <c:pt idx="3">
                    <c:v>IT</c:v>
                  </c:pt>
                  <c:pt idx="4">
                    <c:v>Finance</c:v>
                  </c:pt>
                  <c:pt idx="5">
                    <c:v>Sales</c:v>
                  </c:pt>
                  <c:pt idx="6">
                    <c:v>IT</c:v>
                  </c:pt>
                  <c:pt idx="7">
                    <c:v>HR</c:v>
                  </c:pt>
                  <c:pt idx="8">
                    <c:v>Marketing</c:v>
                  </c:pt>
                  <c:pt idx="9">
                    <c:v>Sales</c:v>
                  </c:pt>
                  <c:pt idx="10">
                    <c:v>Finance</c:v>
                  </c:pt>
                  <c:pt idx="11">
                    <c:v>Marketing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HR</c:v>
                  </c:pt>
                  <c:pt idx="17">
                    <c:v>Marketing</c:v>
                  </c:pt>
                  <c:pt idx="18">
                    <c:v>IT</c:v>
                  </c:pt>
                  <c:pt idx="19">
                    <c:v>Sales</c:v>
                  </c:pt>
                  <c:pt idx="20">
                    <c:v>Finance</c:v>
                  </c:pt>
                  <c:pt idx="21">
                    <c:v>HR</c:v>
                  </c:pt>
                  <c:pt idx="22">
                    <c:v>Marketing</c:v>
                  </c:pt>
                  <c:pt idx="23">
                    <c:v>Sales</c:v>
                  </c:pt>
                  <c:pt idx="24">
                    <c:v>IT</c:v>
                  </c:pt>
                </c:lvl>
                <c:lvl>
                  <c:pt idx="0">
                    <c:v>Aakash</c:v>
                  </c:pt>
                  <c:pt idx="1">
                    <c:v>Meera</c:v>
                  </c:pt>
                  <c:pt idx="2">
                    <c:v>Suresh</c:v>
                  </c:pt>
                  <c:pt idx="3">
                    <c:v>Riya</c:v>
                  </c:pt>
                  <c:pt idx="4">
                    <c:v>Prakash</c:v>
                  </c:pt>
                  <c:pt idx="5">
                    <c:v>Neha</c:v>
                  </c:pt>
                  <c:pt idx="6">
                    <c:v>Rahul</c:v>
                  </c:pt>
                  <c:pt idx="7">
                    <c:v>Priya</c:v>
                  </c:pt>
                  <c:pt idx="8">
                    <c:v>Kunal</c:v>
                  </c:pt>
                  <c:pt idx="9">
                    <c:v>Sneha</c:v>
                  </c:pt>
                  <c:pt idx="10">
                    <c:v>Amit</c:v>
                  </c:pt>
                  <c:pt idx="11">
                    <c:v>Pooja</c:v>
                  </c:pt>
                  <c:pt idx="12">
                    <c:v>Varun</c:v>
                  </c:pt>
                  <c:pt idx="13">
                    <c:v>Deepak</c:v>
                  </c:pt>
                  <c:pt idx="14">
                    <c:v>Rakesh</c:v>
                  </c:pt>
                  <c:pt idx="15">
                    <c:v>Kavita</c:v>
                  </c:pt>
                  <c:pt idx="16">
                    <c:v>Sanjay</c:v>
                  </c:pt>
                  <c:pt idx="17">
                    <c:v>Arjun</c:v>
                  </c:pt>
                  <c:pt idx="18">
                    <c:v>Anjali</c:v>
                  </c:pt>
                  <c:pt idx="19">
                    <c:v>Suman</c:v>
                  </c:pt>
                  <c:pt idx="20">
                    <c:v>Mohan</c:v>
                  </c:pt>
                  <c:pt idx="21">
                    <c:v>Jyoti</c:v>
                  </c:pt>
                  <c:pt idx="22">
                    <c:v>Neeraj</c:v>
                  </c:pt>
                  <c:pt idx="23">
                    <c:v>Akash</c:v>
                  </c:pt>
                  <c:pt idx="24">
                    <c:v>Tanya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  <c:pt idx="10">
                    <c:v>111</c:v>
                  </c:pt>
                  <c:pt idx="11">
                    <c:v>112</c:v>
                  </c:pt>
                  <c:pt idx="12">
                    <c:v>113</c:v>
                  </c:pt>
                  <c:pt idx="13">
                    <c:v>114</c:v>
                  </c:pt>
                  <c:pt idx="14">
                    <c:v>115</c:v>
                  </c:pt>
                  <c:pt idx="15">
                    <c:v>116</c:v>
                  </c:pt>
                  <c:pt idx="16">
                    <c:v>117</c:v>
                  </c:pt>
                  <c:pt idx="17">
                    <c:v>118</c:v>
                  </c:pt>
                  <c:pt idx="18">
                    <c:v>119</c:v>
                  </c:pt>
                  <c:pt idx="19">
                    <c:v>120</c:v>
                  </c:pt>
                  <c:pt idx="20">
                    <c:v>121</c:v>
                  </c:pt>
                  <c:pt idx="21">
                    <c:v>122</c:v>
                  </c:pt>
                  <c:pt idx="22">
                    <c:v>123</c:v>
                  </c:pt>
                  <c:pt idx="23">
                    <c:v>124</c:v>
                  </c:pt>
                  <c:pt idx="24">
                    <c:v>125</c:v>
                  </c:pt>
                </c:lvl>
              </c:multiLvlStrCache>
            </c:multiLvlStrRef>
          </c:xVal>
          <c:yVal>
            <c:numRef>
              <c:f>'4'!$F$2:$F$26</c:f>
              <c:numCache>
                <c:formatCode>General</c:formatCode>
                <c:ptCount val="25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60</c:v>
                </c:pt>
                <c:pt idx="5">
                  <c:v>85</c:v>
                </c:pt>
                <c:pt idx="6">
                  <c:v>100</c:v>
                </c:pt>
                <c:pt idx="7">
                  <c:v>65</c:v>
                </c:pt>
                <c:pt idx="8">
                  <c:v>92</c:v>
                </c:pt>
                <c:pt idx="9">
                  <c:v>83</c:v>
                </c:pt>
                <c:pt idx="10">
                  <c:v>68</c:v>
                </c:pt>
                <c:pt idx="11">
                  <c:v>94</c:v>
                </c:pt>
                <c:pt idx="12">
                  <c:v>75</c:v>
                </c:pt>
                <c:pt idx="13">
                  <c:v>89</c:v>
                </c:pt>
                <c:pt idx="14">
                  <c:v>98</c:v>
                </c:pt>
                <c:pt idx="15">
                  <c:v>62</c:v>
                </c:pt>
                <c:pt idx="16">
                  <c:v>72</c:v>
                </c:pt>
                <c:pt idx="17">
                  <c:v>93</c:v>
                </c:pt>
                <c:pt idx="18">
                  <c:v>87</c:v>
                </c:pt>
                <c:pt idx="19">
                  <c:v>78</c:v>
                </c:pt>
                <c:pt idx="20">
                  <c:v>64</c:v>
                </c:pt>
                <c:pt idx="21">
                  <c:v>74</c:v>
                </c:pt>
                <c:pt idx="22">
                  <c:v>96</c:v>
                </c:pt>
                <c:pt idx="23">
                  <c:v>76</c:v>
                </c:pt>
                <c:pt idx="2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C-4D7B-A63F-F77A7728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638016"/>
        <c:axId val="462638496"/>
      </c:scatterChart>
      <c:valAx>
        <c:axId val="46263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38496"/>
        <c:crosses val="autoZero"/>
        <c:crossBetween val="midCat"/>
      </c:valAx>
      <c:valAx>
        <c:axId val="4626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3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259556</xdr:colOff>
      <xdr:row>0</xdr:row>
      <xdr:rowOff>57150</xdr:rowOff>
    </xdr:from>
    <xdr:to>
      <xdr:col>12</xdr:col>
      <xdr:colOff>330993</xdr:colOff>
      <xdr:row>18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5D098-4F5B-54D7-CD40-B6BA8BBAC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592931</xdr:colOff>
      <xdr:row>6</xdr:row>
      <xdr:rowOff>157162</xdr:rowOff>
    </xdr:from>
    <xdr:to>
      <xdr:col>12</xdr:col>
      <xdr:colOff>373856</xdr:colOff>
      <xdr:row>22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A8C2A3-B2BD-AB57-9D46-52549AF42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3.458366782404" createdVersion="8" refreshedVersion="8" minRefreshableVersion="3" recordCount="25" xr:uid="{31D28130-D6EC-4238-B9A8-13A998601EF3}">
  <cacheSource type="worksheet">
    <worksheetSource ref="A1:G26" sheet="1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IT"/>
        <s v="Marketing"/>
        <s v="Sales"/>
        <s v="HR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7"/>
    <s v="Rahul"/>
    <x v="0"/>
    <n v="50"/>
    <n v="80"/>
    <n v="100"/>
    <n v="5"/>
  </r>
  <r>
    <n v="125"/>
    <s v="Tanya"/>
    <x v="0"/>
    <n v="47"/>
    <n v="79"/>
    <n v="99"/>
    <n v="5"/>
  </r>
  <r>
    <n v="115"/>
    <s v="Rakesh"/>
    <x v="0"/>
    <n v="48"/>
    <n v="78"/>
    <n v="98"/>
    <n v="5"/>
  </r>
  <r>
    <n v="123"/>
    <s v="Neeraj"/>
    <x v="1"/>
    <n v="46"/>
    <n v="77"/>
    <n v="96"/>
    <n v="5"/>
  </r>
  <r>
    <n v="104"/>
    <s v="Riya"/>
    <x v="0"/>
    <n v="45"/>
    <n v="75"/>
    <n v="95"/>
    <n v="5"/>
  </r>
  <r>
    <n v="112"/>
    <s v="Pooja"/>
    <x v="1"/>
    <n v="44"/>
    <n v="73"/>
    <n v="94"/>
    <n v="5"/>
  </r>
  <r>
    <n v="118"/>
    <s v="Arjun"/>
    <x v="1"/>
    <n v="43"/>
    <n v="75"/>
    <n v="93"/>
    <n v="5"/>
  </r>
  <r>
    <n v="109"/>
    <s v="Kunal"/>
    <x v="1"/>
    <n v="42"/>
    <n v="70"/>
    <n v="92"/>
    <n v="5"/>
  </r>
  <r>
    <n v="102"/>
    <s v="Meera"/>
    <x v="1"/>
    <n v="40"/>
    <n v="65"/>
    <n v="90"/>
    <n v="5"/>
  </r>
  <r>
    <n v="114"/>
    <s v="Deepak"/>
    <x v="2"/>
    <n v="41"/>
    <n v="66"/>
    <n v="89"/>
    <n v="4"/>
  </r>
  <r>
    <n v="119"/>
    <s v="Anjali"/>
    <x v="0"/>
    <n v="39"/>
    <n v="60"/>
    <n v="87"/>
    <n v="4"/>
  </r>
  <r>
    <n v="106"/>
    <s v="Neha"/>
    <x v="2"/>
    <n v="38"/>
    <n v="58"/>
    <n v="85"/>
    <n v="4"/>
  </r>
  <r>
    <n v="110"/>
    <s v="Sneha"/>
    <x v="2"/>
    <n v="37"/>
    <n v="55"/>
    <n v="83"/>
    <n v="4"/>
  </r>
  <r>
    <n v="101"/>
    <s v="Aakash"/>
    <x v="2"/>
    <n v="35"/>
    <n v="50"/>
    <n v="80"/>
    <n v="4"/>
  </r>
  <r>
    <n v="120"/>
    <s v="Suman"/>
    <x v="2"/>
    <n v="36"/>
    <n v="52"/>
    <n v="78"/>
    <n v="4"/>
  </r>
  <r>
    <n v="124"/>
    <s v="Akash"/>
    <x v="2"/>
    <n v="34"/>
    <n v="48"/>
    <n v="76"/>
    <n v="3"/>
  </r>
  <r>
    <n v="113"/>
    <s v="Varun"/>
    <x v="3"/>
    <n v="33"/>
    <n v="45"/>
    <n v="75"/>
    <n v="3"/>
  </r>
  <r>
    <n v="122"/>
    <s v="Jyoti"/>
    <x v="3"/>
    <n v="32"/>
    <n v="44"/>
    <n v="74"/>
    <n v="3"/>
  </r>
  <r>
    <n v="117"/>
    <s v="Sanjay"/>
    <x v="3"/>
    <n v="31"/>
    <n v="42"/>
    <n v="72"/>
    <n v="3"/>
  </r>
  <r>
    <n v="103"/>
    <s v="Suresh"/>
    <x v="3"/>
    <n v="30"/>
    <n v="40"/>
    <n v="70"/>
    <n v="3"/>
  </r>
  <r>
    <n v="111"/>
    <s v="Amit"/>
    <x v="4"/>
    <n v="29"/>
    <n v="38"/>
    <n v="68"/>
    <n v="3"/>
  </r>
  <r>
    <n v="108"/>
    <s v="Priya"/>
    <x v="3"/>
    <n v="28"/>
    <n v="35"/>
    <n v="65"/>
    <n v="3"/>
  </r>
  <r>
    <n v="121"/>
    <s v="Mohan"/>
    <x v="4"/>
    <n v="27"/>
    <n v="34"/>
    <n v="64"/>
    <n v="2"/>
  </r>
  <r>
    <n v="116"/>
    <s v="Kavita"/>
    <x v="4"/>
    <n v="26"/>
    <n v="32"/>
    <n v="62"/>
    <n v="2"/>
  </r>
  <r>
    <n v="105"/>
    <s v="Prakash"/>
    <x v="4"/>
    <n v="25"/>
    <n v="30"/>
    <n v="6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C2592-A6A7-4756-85D8-2DF30733CAD7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B9" firstHeaderRow="1" firstDataRow="1" firstDataCol="1"/>
  <pivotFields count="7"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5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10857D-282F-4FAD-9B97-DDC72A8338F7}" name="Table2" displayName="Table2" ref="A1:H26" totalsRowShown="0" headerRowDxfId="12" dataDxfId="13" tableBorderDxfId="21">
  <autoFilter ref="A1:H26" xr:uid="{6E10857D-282F-4FAD-9B97-DDC72A8338F7}"/>
  <sortState xmlns:xlrd2="http://schemas.microsoft.com/office/spreadsheetml/2017/richdata2" ref="A2:H26">
    <sortCondition descending="1" ref="H1:H26"/>
  </sortState>
  <tableColumns count="8">
    <tableColumn id="1" xr3:uid="{B6E19807-DAA7-4471-BD8E-D256F5EA02A6}" name="Employee_ID" dataDxfId="20"/>
    <tableColumn id="2" xr3:uid="{E8DE029E-6C1A-4D57-8DD7-7506A856BA29}" name="Name" dataDxfId="19"/>
    <tableColumn id="3" xr3:uid="{D6ACB184-6B04-40E3-BBF0-5C94DB9C590A}" name="Department" dataDxfId="18"/>
    <tableColumn id="4" xr3:uid="{C8156D4A-F9A7-44D2-9513-397366F975C9}" name="Hours_Worked" dataDxfId="17"/>
    <tableColumn id="5" xr3:uid="{A484AEC3-3244-4DE1-A7F7-D5A236264A12}" name="Tasks_Completed" dataDxfId="16"/>
    <tableColumn id="6" xr3:uid="{D016FFB9-1263-4D3A-AB2B-88824A2BAEBE}" name="Productivity_Score" dataDxfId="15"/>
    <tableColumn id="7" xr3:uid="{5B247F7F-09B1-48ED-9F0D-D9D75475FE4F}" name="Performance_Rating" dataDxfId="14"/>
    <tableColumn id="8" xr3:uid="{CA968FEE-4A3A-4E36-AC7C-7FA8438AB9F4}" name="PEI (Productivity Efficiency Index)" dataDxfId="11">
      <calculatedColumnFormula>Table2[[#This Row],[Productivity_Score]]*Table2[[#This Row],[Performance_Rating]]/Table2[[#This Row],[Hours_Worked]]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28E9A3-6C72-4696-A2A7-4E2A82C58A96}" name="Table25" displayName="Table25" ref="A1:H26" totalsRowShown="0" headerRowDxfId="10" dataDxfId="9" tableBorderDxfId="8">
  <autoFilter ref="A1:H26" xr:uid="{5328E9A3-6C72-4696-A2A7-4E2A82C58A96}"/>
  <sortState xmlns:xlrd2="http://schemas.microsoft.com/office/spreadsheetml/2017/richdata2" ref="A2:H26">
    <sortCondition descending="1" ref="H1:H26"/>
  </sortState>
  <tableColumns count="8">
    <tableColumn id="1" xr3:uid="{C7CBF65B-9EF5-4CA1-BED4-4DE0C78AB9E6}" name="Employee_ID" dataDxfId="7"/>
    <tableColumn id="2" xr3:uid="{CFCDDB93-760A-4242-9A25-01FB5D395847}" name="Name" dataDxfId="6"/>
    <tableColumn id="3" xr3:uid="{46E3B2D9-BECE-46F4-92DE-007D0504A618}" name="Department" dataDxfId="5"/>
    <tableColumn id="4" xr3:uid="{950B2C76-7C18-46CF-A521-2EDEDF3135ED}" name="Hours_Worked" dataDxfId="4"/>
    <tableColumn id="5" xr3:uid="{5D968F20-6729-408D-8165-7005952825D8}" name="Tasks_Completed" dataDxfId="3"/>
    <tableColumn id="6" xr3:uid="{DA91F417-3908-4CEF-921B-CA992B039962}" name="Productivity_Score" dataDxfId="2"/>
    <tableColumn id="7" xr3:uid="{49968E51-B5EB-4DEE-87FE-4CEB54C4CF7A}" name="Performance_Rating" dataDxfId="1"/>
    <tableColumn id="8" xr3:uid="{2BE1B19D-BCF7-4438-9276-568D75971E33}" name="Tasks_per_hour" dataDxfId="0">
      <calculatedColumnFormula>Table25[[#This Row],[Tasks_Completed]]/Table25[[#This Row],[Hours_Worked]]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workbookViewId="0">
      <selection activeCell="J24" sqref="J24"/>
    </sheetView>
  </sheetViews>
  <sheetFormatPr defaultColWidth="12.59765625" defaultRowHeight="15.75" customHeight="1" x14ac:dyDescent="0.35"/>
  <cols>
    <col min="3" max="3" width="11.53125" customWidth="1"/>
    <col min="4" max="4" width="13" bestFit="1" customWidth="1"/>
    <col min="5" max="5" width="15.06640625" bestFit="1" customWidth="1"/>
    <col min="6" max="6" width="16" bestFit="1" customWidth="1"/>
    <col min="7" max="7" width="17.33203125" bestFit="1" customWidth="1"/>
  </cols>
  <sheetData>
    <row r="1" spans="1:7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45">
      <c r="A2" s="2">
        <v>107</v>
      </c>
      <c r="B2" s="2" t="s">
        <v>18</v>
      </c>
      <c r="C2" s="2" t="s">
        <v>14</v>
      </c>
      <c r="D2" s="2">
        <v>50</v>
      </c>
      <c r="E2" s="2">
        <v>80</v>
      </c>
      <c r="F2" s="2">
        <v>100</v>
      </c>
      <c r="G2" s="2">
        <v>5</v>
      </c>
    </row>
    <row r="3" spans="1:7" ht="15.75" customHeight="1" x14ac:dyDescent="0.45">
      <c r="A3" s="2">
        <v>125</v>
      </c>
      <c r="B3" s="2" t="s">
        <v>36</v>
      </c>
      <c r="C3" s="2" t="s">
        <v>14</v>
      </c>
      <c r="D3" s="2">
        <v>47</v>
      </c>
      <c r="E3" s="2">
        <v>79</v>
      </c>
      <c r="F3" s="2">
        <v>99</v>
      </c>
      <c r="G3" s="2">
        <v>5</v>
      </c>
    </row>
    <row r="4" spans="1:7" ht="15.75" customHeight="1" x14ac:dyDescent="0.45">
      <c r="A4" s="2">
        <v>115</v>
      </c>
      <c r="B4" s="2" t="s">
        <v>26</v>
      </c>
      <c r="C4" s="2" t="s">
        <v>14</v>
      </c>
      <c r="D4" s="2">
        <v>48</v>
      </c>
      <c r="E4" s="2">
        <v>78</v>
      </c>
      <c r="F4" s="2">
        <v>98</v>
      </c>
      <c r="G4" s="2">
        <v>5</v>
      </c>
    </row>
    <row r="5" spans="1:7" ht="15.75" customHeight="1" x14ac:dyDescent="0.45">
      <c r="A5" s="2">
        <v>123</v>
      </c>
      <c r="B5" s="2" t="s">
        <v>34</v>
      </c>
      <c r="C5" s="2" t="s">
        <v>10</v>
      </c>
      <c r="D5" s="2">
        <v>46</v>
      </c>
      <c r="E5" s="2">
        <v>77</v>
      </c>
      <c r="F5" s="2">
        <v>96</v>
      </c>
      <c r="G5" s="2">
        <v>5</v>
      </c>
    </row>
    <row r="6" spans="1:7" ht="15.75" customHeight="1" x14ac:dyDescent="0.45">
      <c r="A6" s="3">
        <v>104</v>
      </c>
      <c r="B6" s="3" t="s">
        <v>13</v>
      </c>
      <c r="C6" s="3" t="s">
        <v>14</v>
      </c>
      <c r="D6" s="3">
        <v>45</v>
      </c>
      <c r="E6" s="3">
        <v>75</v>
      </c>
      <c r="F6" s="3">
        <v>95</v>
      </c>
      <c r="G6" s="3">
        <v>5</v>
      </c>
    </row>
    <row r="7" spans="1:7" ht="15.75" customHeight="1" x14ac:dyDescent="0.45">
      <c r="A7" s="3">
        <v>112</v>
      </c>
      <c r="B7" s="3" t="s">
        <v>23</v>
      </c>
      <c r="C7" s="3" t="s">
        <v>10</v>
      </c>
      <c r="D7" s="3">
        <v>44</v>
      </c>
      <c r="E7" s="3">
        <v>73</v>
      </c>
      <c r="F7" s="3">
        <v>94</v>
      </c>
      <c r="G7" s="3">
        <v>5</v>
      </c>
    </row>
    <row r="8" spans="1:7" ht="15.75" customHeight="1" x14ac:dyDescent="0.45">
      <c r="A8" s="3">
        <v>118</v>
      </c>
      <c r="B8" s="3" t="s">
        <v>29</v>
      </c>
      <c r="C8" s="3" t="s">
        <v>10</v>
      </c>
      <c r="D8" s="3">
        <v>43</v>
      </c>
      <c r="E8" s="3">
        <v>75</v>
      </c>
      <c r="F8" s="3">
        <v>93</v>
      </c>
      <c r="G8" s="3">
        <v>5</v>
      </c>
    </row>
    <row r="9" spans="1:7" ht="15.75" customHeight="1" x14ac:dyDescent="0.45">
      <c r="A9" s="2">
        <v>109</v>
      </c>
      <c r="B9" s="2" t="s">
        <v>20</v>
      </c>
      <c r="C9" s="2" t="s">
        <v>10</v>
      </c>
      <c r="D9" s="2">
        <v>42</v>
      </c>
      <c r="E9" s="2">
        <v>70</v>
      </c>
      <c r="F9" s="2">
        <v>92</v>
      </c>
      <c r="G9" s="2">
        <v>5</v>
      </c>
    </row>
    <row r="10" spans="1:7" ht="15.75" customHeight="1" x14ac:dyDescent="0.45">
      <c r="A10" s="3">
        <v>102</v>
      </c>
      <c r="B10" s="3" t="s">
        <v>9</v>
      </c>
      <c r="C10" s="3" t="s">
        <v>10</v>
      </c>
      <c r="D10" s="3">
        <v>40</v>
      </c>
      <c r="E10" s="3">
        <v>65</v>
      </c>
      <c r="F10" s="3">
        <v>90</v>
      </c>
      <c r="G10" s="3">
        <v>5</v>
      </c>
    </row>
    <row r="11" spans="1:7" ht="15.75" customHeight="1" x14ac:dyDescent="0.45">
      <c r="A11" s="3">
        <v>114</v>
      </c>
      <c r="B11" s="3" t="s">
        <v>25</v>
      </c>
      <c r="C11" s="3" t="s">
        <v>8</v>
      </c>
      <c r="D11" s="3">
        <v>41</v>
      </c>
      <c r="E11" s="3">
        <v>66</v>
      </c>
      <c r="F11" s="3">
        <v>89</v>
      </c>
      <c r="G11" s="3">
        <v>4</v>
      </c>
    </row>
    <row r="12" spans="1:7" ht="15.75" customHeight="1" x14ac:dyDescent="0.45">
      <c r="A12" s="2">
        <v>119</v>
      </c>
      <c r="B12" s="2" t="s">
        <v>30</v>
      </c>
      <c r="C12" s="2" t="s">
        <v>14</v>
      </c>
      <c r="D12" s="2">
        <v>39</v>
      </c>
      <c r="E12" s="2">
        <v>60</v>
      </c>
      <c r="F12" s="2">
        <v>87</v>
      </c>
      <c r="G12" s="2">
        <v>4</v>
      </c>
    </row>
    <row r="13" spans="1:7" ht="15.75" customHeight="1" x14ac:dyDescent="0.45">
      <c r="A13" s="3">
        <v>106</v>
      </c>
      <c r="B13" s="3" t="s">
        <v>17</v>
      </c>
      <c r="C13" s="3" t="s">
        <v>8</v>
      </c>
      <c r="D13" s="3">
        <v>38</v>
      </c>
      <c r="E13" s="3">
        <v>58</v>
      </c>
      <c r="F13" s="3">
        <v>85</v>
      </c>
      <c r="G13" s="3">
        <v>4</v>
      </c>
    </row>
    <row r="14" spans="1:7" ht="15.75" customHeight="1" x14ac:dyDescent="0.45">
      <c r="A14" s="3">
        <v>110</v>
      </c>
      <c r="B14" s="3" t="s">
        <v>21</v>
      </c>
      <c r="C14" s="3" t="s">
        <v>8</v>
      </c>
      <c r="D14" s="3">
        <v>37</v>
      </c>
      <c r="E14" s="3">
        <v>55</v>
      </c>
      <c r="F14" s="3">
        <v>83</v>
      </c>
      <c r="G14" s="3">
        <v>4</v>
      </c>
    </row>
    <row r="15" spans="1:7" ht="15.75" customHeight="1" x14ac:dyDescent="0.45">
      <c r="A15" s="2">
        <v>101</v>
      </c>
      <c r="B15" s="2" t="s">
        <v>7</v>
      </c>
      <c r="C15" s="2" t="s">
        <v>8</v>
      </c>
      <c r="D15" s="2">
        <v>35</v>
      </c>
      <c r="E15" s="2">
        <v>50</v>
      </c>
      <c r="F15" s="2">
        <v>80</v>
      </c>
      <c r="G15" s="2">
        <v>4</v>
      </c>
    </row>
    <row r="16" spans="1:7" ht="15.75" customHeight="1" x14ac:dyDescent="0.45">
      <c r="A16" s="3">
        <v>120</v>
      </c>
      <c r="B16" s="3" t="s">
        <v>31</v>
      </c>
      <c r="C16" s="3" t="s">
        <v>8</v>
      </c>
      <c r="D16" s="3">
        <v>36</v>
      </c>
      <c r="E16" s="3">
        <v>52</v>
      </c>
      <c r="F16" s="3">
        <v>78</v>
      </c>
      <c r="G16" s="3">
        <v>4</v>
      </c>
    </row>
    <row r="17" spans="1:7" ht="15.75" customHeight="1" x14ac:dyDescent="0.45">
      <c r="A17" s="3">
        <v>124</v>
      </c>
      <c r="B17" s="3" t="s">
        <v>35</v>
      </c>
      <c r="C17" s="3" t="s">
        <v>8</v>
      </c>
      <c r="D17" s="3">
        <v>34</v>
      </c>
      <c r="E17" s="3">
        <v>48</v>
      </c>
      <c r="F17" s="3">
        <v>76</v>
      </c>
      <c r="G17" s="3">
        <v>3</v>
      </c>
    </row>
    <row r="18" spans="1:7" ht="15.75" customHeight="1" x14ac:dyDescent="0.45">
      <c r="A18" s="2">
        <v>113</v>
      </c>
      <c r="B18" s="2" t="s">
        <v>24</v>
      </c>
      <c r="C18" s="2" t="s">
        <v>12</v>
      </c>
      <c r="D18" s="2">
        <v>33</v>
      </c>
      <c r="E18" s="2">
        <v>45</v>
      </c>
      <c r="F18" s="2">
        <v>75</v>
      </c>
      <c r="G18" s="2">
        <v>3</v>
      </c>
    </row>
    <row r="19" spans="1:7" ht="15.75" customHeight="1" x14ac:dyDescent="0.45">
      <c r="A19" s="3">
        <v>122</v>
      </c>
      <c r="B19" s="3" t="s">
        <v>33</v>
      </c>
      <c r="C19" s="3" t="s">
        <v>12</v>
      </c>
      <c r="D19" s="3">
        <v>32</v>
      </c>
      <c r="E19" s="3">
        <v>44</v>
      </c>
      <c r="F19" s="3">
        <v>74</v>
      </c>
      <c r="G19" s="3">
        <v>3</v>
      </c>
    </row>
    <row r="20" spans="1:7" ht="15.75" customHeight="1" x14ac:dyDescent="0.45">
      <c r="A20" s="2">
        <v>117</v>
      </c>
      <c r="B20" s="2" t="s">
        <v>28</v>
      </c>
      <c r="C20" s="2" t="s">
        <v>12</v>
      </c>
      <c r="D20" s="2">
        <v>31</v>
      </c>
      <c r="E20" s="2">
        <v>42</v>
      </c>
      <c r="F20" s="2">
        <v>72</v>
      </c>
      <c r="G20" s="2">
        <v>3</v>
      </c>
    </row>
    <row r="21" spans="1:7" ht="15.75" customHeight="1" x14ac:dyDescent="0.45">
      <c r="A21" s="2">
        <v>103</v>
      </c>
      <c r="B21" s="2" t="s">
        <v>11</v>
      </c>
      <c r="C21" s="2" t="s">
        <v>12</v>
      </c>
      <c r="D21" s="2">
        <v>30</v>
      </c>
      <c r="E21" s="2">
        <v>40</v>
      </c>
      <c r="F21" s="2">
        <v>70</v>
      </c>
      <c r="G21" s="2">
        <v>3</v>
      </c>
    </row>
    <row r="22" spans="1:7" ht="15.75" customHeight="1" x14ac:dyDescent="0.45">
      <c r="A22" s="2">
        <v>111</v>
      </c>
      <c r="B22" s="2" t="s">
        <v>22</v>
      </c>
      <c r="C22" s="2" t="s">
        <v>16</v>
      </c>
      <c r="D22" s="2">
        <v>29</v>
      </c>
      <c r="E22" s="2">
        <v>38</v>
      </c>
      <c r="F22" s="2">
        <v>68</v>
      </c>
      <c r="G22" s="2">
        <v>3</v>
      </c>
    </row>
    <row r="23" spans="1:7" ht="15.75" customHeight="1" x14ac:dyDescent="0.45">
      <c r="A23" s="3">
        <v>108</v>
      </c>
      <c r="B23" s="3" t="s">
        <v>19</v>
      </c>
      <c r="C23" s="3" t="s">
        <v>12</v>
      </c>
      <c r="D23" s="3">
        <v>28</v>
      </c>
      <c r="E23" s="3">
        <v>35</v>
      </c>
      <c r="F23" s="3">
        <v>65</v>
      </c>
      <c r="G23" s="3">
        <v>3</v>
      </c>
    </row>
    <row r="24" spans="1:7" ht="15.75" customHeight="1" x14ac:dyDescent="0.45">
      <c r="A24" s="2">
        <v>121</v>
      </c>
      <c r="B24" s="2" t="s">
        <v>32</v>
      </c>
      <c r="C24" s="2" t="s">
        <v>16</v>
      </c>
      <c r="D24" s="2">
        <v>27</v>
      </c>
      <c r="E24" s="2">
        <v>34</v>
      </c>
      <c r="F24" s="2">
        <v>64</v>
      </c>
      <c r="G24" s="2">
        <v>2</v>
      </c>
    </row>
    <row r="25" spans="1:7" ht="15.75" customHeight="1" x14ac:dyDescent="0.45">
      <c r="A25" s="3">
        <v>116</v>
      </c>
      <c r="B25" s="3" t="s">
        <v>27</v>
      </c>
      <c r="C25" s="3" t="s">
        <v>16</v>
      </c>
      <c r="D25" s="3">
        <v>26</v>
      </c>
      <c r="E25" s="3">
        <v>32</v>
      </c>
      <c r="F25" s="3">
        <v>62</v>
      </c>
      <c r="G25" s="3">
        <v>2</v>
      </c>
    </row>
    <row r="26" spans="1:7" ht="15.75" customHeight="1" x14ac:dyDescent="0.45">
      <c r="A26" s="2">
        <v>105</v>
      </c>
      <c r="B26" s="2" t="s">
        <v>15</v>
      </c>
      <c r="C26" s="2" t="s">
        <v>16</v>
      </c>
      <c r="D26" s="2">
        <v>25</v>
      </c>
      <c r="E26" s="2">
        <v>30</v>
      </c>
      <c r="F26" s="2">
        <v>60</v>
      </c>
      <c r="G26" s="2">
        <v>2</v>
      </c>
    </row>
  </sheetData>
  <sortState xmlns:xlrd2="http://schemas.microsoft.com/office/spreadsheetml/2017/richdata2" ref="A2:G28">
    <sortCondition descending="1" ref="F1:F28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C2E8-785F-49E9-A2BE-94F695991D3F}">
  <dimension ref="A3:B9"/>
  <sheetViews>
    <sheetView workbookViewId="0">
      <selection activeCell="D24" sqref="D24"/>
    </sheetView>
  </sheetViews>
  <sheetFormatPr defaultRowHeight="12.75" x14ac:dyDescent="0.35"/>
  <cols>
    <col min="1" max="1" width="14.19921875" bestFit="1" customWidth="1"/>
    <col min="2" max="2" width="27.86328125" bestFit="1" customWidth="1"/>
  </cols>
  <sheetData>
    <row r="3" spans="1:2" x14ac:dyDescent="0.35">
      <c r="A3" s="4" t="s">
        <v>39</v>
      </c>
      <c r="B3" t="s">
        <v>38</v>
      </c>
    </row>
    <row r="4" spans="1:2" x14ac:dyDescent="0.35">
      <c r="A4" s="5" t="s">
        <v>16</v>
      </c>
      <c r="B4" s="6">
        <v>2.9580398915498081</v>
      </c>
    </row>
    <row r="5" spans="1:2" x14ac:dyDescent="0.35">
      <c r="A5" s="5" t="s">
        <v>12</v>
      </c>
      <c r="B5" s="6">
        <v>3.54400902933387</v>
      </c>
    </row>
    <row r="6" spans="1:2" x14ac:dyDescent="0.35">
      <c r="A6" s="5" t="s">
        <v>14</v>
      </c>
      <c r="B6" s="6">
        <v>4.7074409183759283</v>
      </c>
    </row>
    <row r="7" spans="1:2" x14ac:dyDescent="0.35">
      <c r="A7" s="5" t="s">
        <v>10</v>
      </c>
      <c r="B7" s="6">
        <v>2</v>
      </c>
    </row>
    <row r="8" spans="1:2" x14ac:dyDescent="0.35">
      <c r="A8" s="5" t="s">
        <v>8</v>
      </c>
      <c r="B8" s="6">
        <v>4.3748015828022293</v>
      </c>
    </row>
    <row r="9" spans="1:2" x14ac:dyDescent="0.35">
      <c r="A9" s="5" t="s">
        <v>37</v>
      </c>
      <c r="B9" s="6">
        <v>12.412896519346321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5A1E-26CF-4D43-8294-5F67AF4C86FB}">
  <dimension ref="A1:H26"/>
  <sheetViews>
    <sheetView topLeftCell="A2" workbookViewId="0">
      <selection sqref="A1:H26"/>
    </sheetView>
  </sheetViews>
  <sheetFormatPr defaultRowHeight="12.75" x14ac:dyDescent="0.35"/>
  <cols>
    <col min="1" max="1" width="13.33203125" customWidth="1"/>
    <col min="2" max="2" width="9.6640625" customWidth="1"/>
    <col min="3" max="3" width="12.46484375" customWidth="1"/>
    <col min="4" max="4" width="14.796875" customWidth="1"/>
    <col min="5" max="5" width="16.86328125" customWidth="1"/>
    <col min="6" max="6" width="17.796875" customWidth="1"/>
    <col min="7" max="7" width="19.06640625" customWidth="1"/>
    <col min="8" max="8" width="33" bestFit="1" customWidth="1"/>
  </cols>
  <sheetData>
    <row r="1" spans="1:8" ht="14.25" x14ac:dyDescent="0.4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40</v>
      </c>
    </row>
    <row r="2" spans="1:8" ht="14.25" x14ac:dyDescent="0.45">
      <c r="A2" s="9">
        <v>102</v>
      </c>
      <c r="B2" s="3" t="s">
        <v>9</v>
      </c>
      <c r="C2" s="3" t="s">
        <v>10</v>
      </c>
      <c r="D2" s="3">
        <v>40</v>
      </c>
      <c r="E2" s="3">
        <v>65</v>
      </c>
      <c r="F2" s="3">
        <v>90</v>
      </c>
      <c r="G2" s="3">
        <v>5</v>
      </c>
      <c r="H2">
        <f>Table2[[#This Row],[Productivity_Score]]*Table2[[#This Row],[Performance_Rating]]/Table2[[#This Row],[Hours_Worked]]</f>
        <v>11.25</v>
      </c>
    </row>
    <row r="3" spans="1:8" ht="14.25" x14ac:dyDescent="0.45">
      <c r="A3" s="8">
        <v>109</v>
      </c>
      <c r="B3" s="2" t="s">
        <v>20</v>
      </c>
      <c r="C3" s="2" t="s">
        <v>10</v>
      </c>
      <c r="D3" s="2">
        <v>42</v>
      </c>
      <c r="E3" s="2">
        <v>70</v>
      </c>
      <c r="F3" s="2">
        <v>92</v>
      </c>
      <c r="G3" s="2">
        <v>5</v>
      </c>
      <c r="H3">
        <f>Table2[[#This Row],[Productivity_Score]]*Table2[[#This Row],[Performance_Rating]]/Table2[[#This Row],[Hours_Worked]]</f>
        <v>10.952380952380953</v>
      </c>
    </row>
    <row r="4" spans="1:8" ht="14.25" x14ac:dyDescent="0.45">
      <c r="A4" s="9">
        <v>118</v>
      </c>
      <c r="B4" s="3" t="s">
        <v>29</v>
      </c>
      <c r="C4" s="3" t="s">
        <v>10</v>
      </c>
      <c r="D4" s="3">
        <v>43</v>
      </c>
      <c r="E4" s="3">
        <v>75</v>
      </c>
      <c r="F4" s="3">
        <v>93</v>
      </c>
      <c r="G4" s="3">
        <v>5</v>
      </c>
      <c r="H4">
        <f>Table2[[#This Row],[Productivity_Score]]*Table2[[#This Row],[Performance_Rating]]/Table2[[#This Row],[Hours_Worked]]</f>
        <v>10.813953488372093</v>
      </c>
    </row>
    <row r="5" spans="1:8" ht="14.25" x14ac:dyDescent="0.45">
      <c r="A5" s="9">
        <v>112</v>
      </c>
      <c r="B5" s="3" t="s">
        <v>23</v>
      </c>
      <c r="C5" s="3" t="s">
        <v>10</v>
      </c>
      <c r="D5" s="3">
        <v>44</v>
      </c>
      <c r="E5" s="3">
        <v>73</v>
      </c>
      <c r="F5" s="3">
        <v>94</v>
      </c>
      <c r="G5" s="3">
        <v>5</v>
      </c>
      <c r="H5">
        <f>Table2[[#This Row],[Productivity_Score]]*Table2[[#This Row],[Performance_Rating]]/Table2[[#This Row],[Hours_Worked]]</f>
        <v>10.681818181818182</v>
      </c>
    </row>
    <row r="6" spans="1:8" ht="14.25" x14ac:dyDescent="0.45">
      <c r="A6" s="9">
        <v>104</v>
      </c>
      <c r="B6" s="3" t="s">
        <v>13</v>
      </c>
      <c r="C6" s="3" t="s">
        <v>14</v>
      </c>
      <c r="D6" s="3">
        <v>45</v>
      </c>
      <c r="E6" s="3">
        <v>75</v>
      </c>
      <c r="F6" s="3">
        <v>95</v>
      </c>
      <c r="G6" s="3">
        <v>5</v>
      </c>
      <c r="H6">
        <f>Table2[[#This Row],[Productivity_Score]]*Table2[[#This Row],[Performance_Rating]]/Table2[[#This Row],[Hours_Worked]]</f>
        <v>10.555555555555555</v>
      </c>
    </row>
    <row r="7" spans="1:8" ht="14.25" x14ac:dyDescent="0.45">
      <c r="A7" s="8">
        <v>125</v>
      </c>
      <c r="B7" s="2" t="s">
        <v>36</v>
      </c>
      <c r="C7" s="2" t="s">
        <v>14</v>
      </c>
      <c r="D7" s="2">
        <v>47</v>
      </c>
      <c r="E7" s="2">
        <v>79</v>
      </c>
      <c r="F7" s="2">
        <v>99</v>
      </c>
      <c r="G7" s="2">
        <v>5</v>
      </c>
      <c r="H7">
        <f>Table2[[#This Row],[Productivity_Score]]*Table2[[#This Row],[Performance_Rating]]/Table2[[#This Row],[Hours_Worked]]</f>
        <v>10.531914893617021</v>
      </c>
    </row>
    <row r="8" spans="1:8" ht="14.25" x14ac:dyDescent="0.45">
      <c r="A8" s="8">
        <v>123</v>
      </c>
      <c r="B8" s="2" t="s">
        <v>34</v>
      </c>
      <c r="C8" s="2" t="s">
        <v>10</v>
      </c>
      <c r="D8" s="2">
        <v>46</v>
      </c>
      <c r="E8" s="2">
        <v>77</v>
      </c>
      <c r="F8" s="2">
        <v>96</v>
      </c>
      <c r="G8" s="2">
        <v>5</v>
      </c>
      <c r="H8">
        <f>Table2[[#This Row],[Productivity_Score]]*Table2[[#This Row],[Performance_Rating]]/Table2[[#This Row],[Hours_Worked]]</f>
        <v>10.434782608695652</v>
      </c>
    </row>
    <row r="9" spans="1:8" ht="14.25" x14ac:dyDescent="0.45">
      <c r="A9" s="8">
        <v>115</v>
      </c>
      <c r="B9" s="2" t="s">
        <v>26</v>
      </c>
      <c r="C9" s="2" t="s">
        <v>14</v>
      </c>
      <c r="D9" s="2">
        <v>48</v>
      </c>
      <c r="E9" s="2">
        <v>78</v>
      </c>
      <c r="F9" s="2">
        <v>98</v>
      </c>
      <c r="G9" s="2">
        <v>5</v>
      </c>
      <c r="H9">
        <f>Table2[[#This Row],[Productivity_Score]]*Table2[[#This Row],[Performance_Rating]]/Table2[[#This Row],[Hours_Worked]]</f>
        <v>10.208333333333334</v>
      </c>
    </row>
    <row r="10" spans="1:8" ht="14.25" x14ac:dyDescent="0.45">
      <c r="A10" s="8">
        <v>107</v>
      </c>
      <c r="B10" s="2" t="s">
        <v>18</v>
      </c>
      <c r="C10" s="2" t="s">
        <v>14</v>
      </c>
      <c r="D10" s="2">
        <v>50</v>
      </c>
      <c r="E10" s="2">
        <v>80</v>
      </c>
      <c r="F10" s="2">
        <v>100</v>
      </c>
      <c r="G10" s="2">
        <v>5</v>
      </c>
      <c r="H10">
        <f>Table2[[#This Row],[Productivity_Score]]*Table2[[#This Row],[Performance_Rating]]/Table2[[#This Row],[Hours_Worked]]</f>
        <v>10</v>
      </c>
    </row>
    <row r="11" spans="1:8" ht="14.25" x14ac:dyDescent="0.45">
      <c r="A11" s="8">
        <v>101</v>
      </c>
      <c r="B11" s="2" t="s">
        <v>7</v>
      </c>
      <c r="C11" s="2" t="s">
        <v>8</v>
      </c>
      <c r="D11" s="2">
        <v>35</v>
      </c>
      <c r="E11" s="2">
        <v>50</v>
      </c>
      <c r="F11" s="2">
        <v>80</v>
      </c>
      <c r="G11" s="2">
        <v>4</v>
      </c>
      <c r="H11">
        <f>Table2[[#This Row],[Productivity_Score]]*Table2[[#This Row],[Performance_Rating]]/Table2[[#This Row],[Hours_Worked]]</f>
        <v>9.1428571428571423</v>
      </c>
    </row>
    <row r="12" spans="1:8" ht="14.25" x14ac:dyDescent="0.45">
      <c r="A12" s="9">
        <v>110</v>
      </c>
      <c r="B12" s="3" t="s">
        <v>21</v>
      </c>
      <c r="C12" s="3" t="s">
        <v>8</v>
      </c>
      <c r="D12" s="3">
        <v>37</v>
      </c>
      <c r="E12" s="3">
        <v>55</v>
      </c>
      <c r="F12" s="3">
        <v>83</v>
      </c>
      <c r="G12" s="3">
        <v>4</v>
      </c>
      <c r="H12">
        <f>Table2[[#This Row],[Productivity_Score]]*Table2[[#This Row],[Performance_Rating]]/Table2[[#This Row],[Hours_Worked]]</f>
        <v>8.9729729729729737</v>
      </c>
    </row>
    <row r="13" spans="1:8" ht="14.25" x14ac:dyDescent="0.45">
      <c r="A13" s="9">
        <v>106</v>
      </c>
      <c r="B13" s="3" t="s">
        <v>17</v>
      </c>
      <c r="C13" s="3" t="s">
        <v>8</v>
      </c>
      <c r="D13" s="3">
        <v>38</v>
      </c>
      <c r="E13" s="3">
        <v>58</v>
      </c>
      <c r="F13" s="3">
        <v>85</v>
      </c>
      <c r="G13" s="3">
        <v>4</v>
      </c>
      <c r="H13">
        <f>Table2[[#This Row],[Productivity_Score]]*Table2[[#This Row],[Performance_Rating]]/Table2[[#This Row],[Hours_Worked]]</f>
        <v>8.9473684210526319</v>
      </c>
    </row>
    <row r="14" spans="1:8" ht="14.25" x14ac:dyDescent="0.45">
      <c r="A14" s="8">
        <v>119</v>
      </c>
      <c r="B14" s="2" t="s">
        <v>30</v>
      </c>
      <c r="C14" s="2" t="s">
        <v>14</v>
      </c>
      <c r="D14" s="2">
        <v>39</v>
      </c>
      <c r="E14" s="2">
        <v>60</v>
      </c>
      <c r="F14" s="2">
        <v>87</v>
      </c>
      <c r="G14" s="2">
        <v>4</v>
      </c>
      <c r="H14">
        <f>Table2[[#This Row],[Productivity_Score]]*Table2[[#This Row],[Performance_Rating]]/Table2[[#This Row],[Hours_Worked]]</f>
        <v>8.9230769230769234</v>
      </c>
    </row>
    <row r="15" spans="1:8" ht="14.25" x14ac:dyDescent="0.45">
      <c r="A15" s="9">
        <v>114</v>
      </c>
      <c r="B15" s="3" t="s">
        <v>25</v>
      </c>
      <c r="C15" s="3" t="s">
        <v>8</v>
      </c>
      <c r="D15" s="3">
        <v>41</v>
      </c>
      <c r="E15" s="3">
        <v>66</v>
      </c>
      <c r="F15" s="3">
        <v>89</v>
      </c>
      <c r="G15" s="3">
        <v>4</v>
      </c>
      <c r="H15">
        <f>Table2[[#This Row],[Productivity_Score]]*Table2[[#This Row],[Performance_Rating]]/Table2[[#This Row],[Hours_Worked]]</f>
        <v>8.6829268292682933</v>
      </c>
    </row>
    <row r="16" spans="1:8" ht="14.25" x14ac:dyDescent="0.45">
      <c r="A16" s="9">
        <v>120</v>
      </c>
      <c r="B16" s="3" t="s">
        <v>31</v>
      </c>
      <c r="C16" s="3" t="s">
        <v>8</v>
      </c>
      <c r="D16" s="3">
        <v>36</v>
      </c>
      <c r="E16" s="3">
        <v>52</v>
      </c>
      <c r="F16" s="3">
        <v>78</v>
      </c>
      <c r="G16" s="3">
        <v>4</v>
      </c>
      <c r="H16">
        <f>Table2[[#This Row],[Productivity_Score]]*Table2[[#This Row],[Performance_Rating]]/Table2[[#This Row],[Hours_Worked]]</f>
        <v>8.6666666666666661</v>
      </c>
    </row>
    <row r="17" spans="1:8" ht="14.25" x14ac:dyDescent="0.45">
      <c r="A17" s="8">
        <v>111</v>
      </c>
      <c r="B17" s="2" t="s">
        <v>22</v>
      </c>
      <c r="C17" s="2" t="s">
        <v>16</v>
      </c>
      <c r="D17" s="2">
        <v>29</v>
      </c>
      <c r="E17" s="2">
        <v>38</v>
      </c>
      <c r="F17" s="2">
        <v>68</v>
      </c>
      <c r="G17" s="2">
        <v>3</v>
      </c>
      <c r="H17">
        <f>Table2[[#This Row],[Productivity_Score]]*Table2[[#This Row],[Performance_Rating]]/Table2[[#This Row],[Hours_Worked]]</f>
        <v>7.0344827586206895</v>
      </c>
    </row>
    <row r="18" spans="1:8" ht="14.25" x14ac:dyDescent="0.45">
      <c r="A18" s="8">
        <v>103</v>
      </c>
      <c r="B18" s="2" t="s">
        <v>11</v>
      </c>
      <c r="C18" s="2" t="s">
        <v>12</v>
      </c>
      <c r="D18" s="2">
        <v>30</v>
      </c>
      <c r="E18" s="2">
        <v>40</v>
      </c>
      <c r="F18" s="2">
        <v>70</v>
      </c>
      <c r="G18" s="2">
        <v>3</v>
      </c>
      <c r="H18">
        <f>Table2[[#This Row],[Productivity_Score]]*Table2[[#This Row],[Performance_Rating]]/Table2[[#This Row],[Hours_Worked]]</f>
        <v>7</v>
      </c>
    </row>
    <row r="19" spans="1:8" ht="14.25" x14ac:dyDescent="0.45">
      <c r="A19" s="8">
        <v>117</v>
      </c>
      <c r="B19" s="2" t="s">
        <v>28</v>
      </c>
      <c r="C19" s="2" t="s">
        <v>12</v>
      </c>
      <c r="D19" s="2">
        <v>31</v>
      </c>
      <c r="E19" s="2">
        <v>42</v>
      </c>
      <c r="F19" s="2">
        <v>72</v>
      </c>
      <c r="G19" s="2">
        <v>3</v>
      </c>
      <c r="H19">
        <f>Table2[[#This Row],[Productivity_Score]]*Table2[[#This Row],[Performance_Rating]]/Table2[[#This Row],[Hours_Worked]]</f>
        <v>6.967741935483871</v>
      </c>
    </row>
    <row r="20" spans="1:8" ht="14.25" x14ac:dyDescent="0.45">
      <c r="A20" s="9">
        <v>108</v>
      </c>
      <c r="B20" s="3" t="s">
        <v>19</v>
      </c>
      <c r="C20" s="3" t="s">
        <v>12</v>
      </c>
      <c r="D20" s="3">
        <v>28</v>
      </c>
      <c r="E20" s="3">
        <v>35</v>
      </c>
      <c r="F20" s="3">
        <v>65</v>
      </c>
      <c r="G20" s="3">
        <v>3</v>
      </c>
      <c r="H20">
        <f>Table2[[#This Row],[Productivity_Score]]*Table2[[#This Row],[Performance_Rating]]/Table2[[#This Row],[Hours_Worked]]</f>
        <v>6.9642857142857144</v>
      </c>
    </row>
    <row r="21" spans="1:8" ht="14.25" x14ac:dyDescent="0.45">
      <c r="A21" s="9">
        <v>122</v>
      </c>
      <c r="B21" s="3" t="s">
        <v>33</v>
      </c>
      <c r="C21" s="3" t="s">
        <v>12</v>
      </c>
      <c r="D21" s="3">
        <v>32</v>
      </c>
      <c r="E21" s="3">
        <v>44</v>
      </c>
      <c r="F21" s="3">
        <v>74</v>
      </c>
      <c r="G21" s="3">
        <v>3</v>
      </c>
      <c r="H21">
        <f>Table2[[#This Row],[Productivity_Score]]*Table2[[#This Row],[Performance_Rating]]/Table2[[#This Row],[Hours_Worked]]</f>
        <v>6.9375</v>
      </c>
    </row>
    <row r="22" spans="1:8" ht="14.25" x14ac:dyDescent="0.45">
      <c r="A22" s="8">
        <v>113</v>
      </c>
      <c r="B22" s="2" t="s">
        <v>24</v>
      </c>
      <c r="C22" s="2" t="s">
        <v>12</v>
      </c>
      <c r="D22" s="2">
        <v>33</v>
      </c>
      <c r="E22" s="2">
        <v>45</v>
      </c>
      <c r="F22" s="2">
        <v>75</v>
      </c>
      <c r="G22" s="2">
        <v>3</v>
      </c>
      <c r="H22">
        <f>Table2[[#This Row],[Productivity_Score]]*Table2[[#This Row],[Performance_Rating]]/Table2[[#This Row],[Hours_Worked]]</f>
        <v>6.8181818181818183</v>
      </c>
    </row>
    <row r="23" spans="1:8" ht="14.25" x14ac:dyDescent="0.45">
      <c r="A23" s="9">
        <v>124</v>
      </c>
      <c r="B23" s="3" t="s">
        <v>35</v>
      </c>
      <c r="C23" s="3" t="s">
        <v>8</v>
      </c>
      <c r="D23" s="3">
        <v>34</v>
      </c>
      <c r="E23" s="3">
        <v>48</v>
      </c>
      <c r="F23" s="3">
        <v>76</v>
      </c>
      <c r="G23" s="3">
        <v>3</v>
      </c>
      <c r="H23">
        <f>Table2[[#This Row],[Productivity_Score]]*Table2[[#This Row],[Performance_Rating]]/Table2[[#This Row],[Hours_Worked]]</f>
        <v>6.7058823529411766</v>
      </c>
    </row>
    <row r="24" spans="1:8" ht="14.25" x14ac:dyDescent="0.45">
      <c r="A24" s="8">
        <v>105</v>
      </c>
      <c r="B24" s="2" t="s">
        <v>15</v>
      </c>
      <c r="C24" s="2" t="s">
        <v>16</v>
      </c>
      <c r="D24" s="2">
        <v>25</v>
      </c>
      <c r="E24" s="2">
        <v>30</v>
      </c>
      <c r="F24" s="2">
        <v>60</v>
      </c>
      <c r="G24" s="2">
        <v>2</v>
      </c>
      <c r="H24">
        <f>Table2[[#This Row],[Productivity_Score]]*Table2[[#This Row],[Performance_Rating]]/Table2[[#This Row],[Hours_Worked]]</f>
        <v>4.8</v>
      </c>
    </row>
    <row r="25" spans="1:8" ht="14.25" x14ac:dyDescent="0.45">
      <c r="A25" s="9">
        <v>116</v>
      </c>
      <c r="B25" s="3" t="s">
        <v>27</v>
      </c>
      <c r="C25" s="3" t="s">
        <v>16</v>
      </c>
      <c r="D25" s="3">
        <v>26</v>
      </c>
      <c r="E25" s="3">
        <v>32</v>
      </c>
      <c r="F25" s="3">
        <v>62</v>
      </c>
      <c r="G25" s="3">
        <v>2</v>
      </c>
      <c r="H25">
        <f>Table2[[#This Row],[Productivity_Score]]*Table2[[#This Row],[Performance_Rating]]/Table2[[#This Row],[Hours_Worked]]</f>
        <v>4.7692307692307692</v>
      </c>
    </row>
    <row r="26" spans="1:8" ht="14.25" x14ac:dyDescent="0.45">
      <c r="A26" s="8">
        <v>121</v>
      </c>
      <c r="B26" s="2" t="s">
        <v>32</v>
      </c>
      <c r="C26" s="2" t="s">
        <v>16</v>
      </c>
      <c r="D26" s="2">
        <v>27</v>
      </c>
      <c r="E26" s="2">
        <v>34</v>
      </c>
      <c r="F26" s="2">
        <v>64</v>
      </c>
      <c r="G26" s="2">
        <v>2</v>
      </c>
      <c r="H26">
        <f>Table2[[#This Row],[Productivity_Score]]*Table2[[#This Row],[Performance_Rating]]/Table2[[#This Row],[Hours_Worked]]</f>
        <v>4.7407407407407405</v>
      </c>
    </row>
  </sheetData>
  <sortState xmlns:xlrd2="http://schemas.microsoft.com/office/spreadsheetml/2017/richdata2" ref="A2:G26">
    <sortCondition ref="A1:A26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E66B-9D65-4C79-ACD8-E16152DE7F0C}">
  <dimension ref="A1:L26"/>
  <sheetViews>
    <sheetView workbookViewId="0">
      <selection sqref="A1:G26"/>
    </sheetView>
  </sheetViews>
  <sheetFormatPr defaultRowHeight="12.75" x14ac:dyDescent="0.35"/>
  <cols>
    <col min="1" max="1" width="11.46484375" bestFit="1" customWidth="1"/>
    <col min="3" max="3" width="11.53125" customWidth="1"/>
    <col min="4" max="4" width="13" customWidth="1"/>
    <col min="5" max="5" width="14.9296875" customWidth="1"/>
    <col min="6" max="6" width="16" bestFit="1" customWidth="1"/>
    <col min="7" max="7" width="17.33203125" bestFit="1" customWidth="1"/>
    <col min="8" max="8" width="19.33203125" bestFit="1" customWidth="1"/>
    <col min="9" max="9" width="20.53125" bestFit="1" customWidth="1"/>
  </cols>
  <sheetData>
    <row r="1" spans="1:12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41</v>
      </c>
      <c r="I1" s="10" t="s">
        <v>42</v>
      </c>
    </row>
    <row r="2" spans="1:12" ht="14.25" x14ac:dyDescent="0.45">
      <c r="A2" s="2">
        <v>101</v>
      </c>
      <c r="B2" s="2" t="s">
        <v>7</v>
      </c>
      <c r="C2" s="2" t="s">
        <v>8</v>
      </c>
      <c r="D2" s="2">
        <v>35</v>
      </c>
      <c r="E2" s="2">
        <v>50</v>
      </c>
      <c r="F2" s="2">
        <v>80</v>
      </c>
      <c r="G2" s="2">
        <v>4</v>
      </c>
      <c r="H2">
        <f>CORREL(D2:D26,F2:F26)</f>
        <v>0.99249842295704516</v>
      </c>
      <c r="I2">
        <f>CORREL(E2:E26,F2:F26)</f>
        <v>0.99342523185452336</v>
      </c>
    </row>
    <row r="3" spans="1:12" ht="14.25" x14ac:dyDescent="0.45">
      <c r="A3" s="3">
        <v>102</v>
      </c>
      <c r="B3" s="3" t="s">
        <v>9</v>
      </c>
      <c r="C3" s="3" t="s">
        <v>10</v>
      </c>
      <c r="D3" s="3">
        <v>40</v>
      </c>
      <c r="E3" s="3">
        <v>65</v>
      </c>
      <c r="F3" s="3">
        <v>90</v>
      </c>
      <c r="G3" s="3">
        <v>5</v>
      </c>
    </row>
    <row r="4" spans="1:12" ht="14.25" x14ac:dyDescent="0.45">
      <c r="A4" s="2">
        <v>103</v>
      </c>
      <c r="B4" s="2" t="s">
        <v>11</v>
      </c>
      <c r="C4" s="2" t="s">
        <v>12</v>
      </c>
      <c r="D4" s="2">
        <v>30</v>
      </c>
      <c r="E4" s="2">
        <v>40</v>
      </c>
      <c r="F4" s="2">
        <v>70</v>
      </c>
      <c r="G4" s="2">
        <v>3</v>
      </c>
      <c r="I4" s="12" t="s">
        <v>43</v>
      </c>
      <c r="J4" s="12"/>
      <c r="K4" s="12"/>
      <c r="L4" s="12"/>
    </row>
    <row r="5" spans="1:12" ht="14.25" x14ac:dyDescent="0.45">
      <c r="A5" s="3">
        <v>104</v>
      </c>
      <c r="B5" s="3" t="s">
        <v>13</v>
      </c>
      <c r="C5" s="3" t="s">
        <v>14</v>
      </c>
      <c r="D5" s="3">
        <v>45</v>
      </c>
      <c r="E5" s="3">
        <v>75</v>
      </c>
      <c r="F5" s="3">
        <v>95</v>
      </c>
      <c r="G5" s="3">
        <v>5</v>
      </c>
    </row>
    <row r="6" spans="1:12" ht="14.25" x14ac:dyDescent="0.45">
      <c r="A6" s="2">
        <v>105</v>
      </c>
      <c r="B6" s="2" t="s">
        <v>15</v>
      </c>
      <c r="C6" s="2" t="s">
        <v>16</v>
      </c>
      <c r="D6" s="2">
        <v>25</v>
      </c>
      <c r="E6" s="2">
        <v>30</v>
      </c>
      <c r="F6" s="2">
        <v>60</v>
      </c>
      <c r="G6" s="2">
        <v>2</v>
      </c>
    </row>
    <row r="7" spans="1:12" ht="14.25" x14ac:dyDescent="0.45">
      <c r="A7" s="3">
        <v>106</v>
      </c>
      <c r="B7" s="3" t="s">
        <v>17</v>
      </c>
      <c r="C7" s="3" t="s">
        <v>8</v>
      </c>
      <c r="D7" s="3">
        <v>38</v>
      </c>
      <c r="E7" s="3">
        <v>58</v>
      </c>
      <c r="F7" s="3">
        <v>85</v>
      </c>
      <c r="G7" s="3">
        <v>4</v>
      </c>
    </row>
    <row r="8" spans="1:12" ht="14.25" x14ac:dyDescent="0.45">
      <c r="A8" s="2">
        <v>107</v>
      </c>
      <c r="B8" s="2" t="s">
        <v>18</v>
      </c>
      <c r="C8" s="2" t="s">
        <v>14</v>
      </c>
      <c r="D8" s="2">
        <v>50</v>
      </c>
      <c r="E8" s="2">
        <v>80</v>
      </c>
      <c r="F8" s="2">
        <v>100</v>
      </c>
      <c r="G8" s="2">
        <v>5</v>
      </c>
    </row>
    <row r="9" spans="1:12" ht="14.25" x14ac:dyDescent="0.45">
      <c r="A9" s="3">
        <v>108</v>
      </c>
      <c r="B9" s="3" t="s">
        <v>19</v>
      </c>
      <c r="C9" s="3" t="s">
        <v>12</v>
      </c>
      <c r="D9" s="3">
        <v>28</v>
      </c>
      <c r="E9" s="3">
        <v>35</v>
      </c>
      <c r="F9" s="3">
        <v>65</v>
      </c>
      <c r="G9" s="3">
        <v>3</v>
      </c>
    </row>
    <row r="10" spans="1:12" ht="14.25" x14ac:dyDescent="0.45">
      <c r="A10" s="2">
        <v>109</v>
      </c>
      <c r="B10" s="2" t="s">
        <v>20</v>
      </c>
      <c r="C10" s="2" t="s">
        <v>10</v>
      </c>
      <c r="D10" s="2">
        <v>42</v>
      </c>
      <c r="E10" s="2">
        <v>70</v>
      </c>
      <c r="F10" s="2">
        <v>92</v>
      </c>
      <c r="G10" s="2">
        <v>5</v>
      </c>
    </row>
    <row r="11" spans="1:12" ht="14.25" x14ac:dyDescent="0.45">
      <c r="A11" s="3">
        <v>110</v>
      </c>
      <c r="B11" s="3" t="s">
        <v>21</v>
      </c>
      <c r="C11" s="3" t="s">
        <v>8</v>
      </c>
      <c r="D11" s="3">
        <v>37</v>
      </c>
      <c r="E11" s="3">
        <v>55</v>
      </c>
      <c r="F11" s="3">
        <v>83</v>
      </c>
      <c r="G11" s="3">
        <v>4</v>
      </c>
    </row>
    <row r="12" spans="1:12" ht="14.25" x14ac:dyDescent="0.45">
      <c r="A12" s="2">
        <v>111</v>
      </c>
      <c r="B12" s="2" t="s">
        <v>22</v>
      </c>
      <c r="C12" s="2" t="s">
        <v>16</v>
      </c>
      <c r="D12" s="2">
        <v>29</v>
      </c>
      <c r="E12" s="2">
        <v>38</v>
      </c>
      <c r="F12" s="2">
        <v>68</v>
      </c>
      <c r="G12" s="2">
        <v>3</v>
      </c>
    </row>
    <row r="13" spans="1:12" ht="14.25" x14ac:dyDescent="0.45">
      <c r="A13" s="3">
        <v>112</v>
      </c>
      <c r="B13" s="3" t="s">
        <v>23</v>
      </c>
      <c r="C13" s="3" t="s">
        <v>10</v>
      </c>
      <c r="D13" s="3">
        <v>44</v>
      </c>
      <c r="E13" s="3">
        <v>73</v>
      </c>
      <c r="F13" s="3">
        <v>94</v>
      </c>
      <c r="G13" s="3">
        <v>5</v>
      </c>
    </row>
    <row r="14" spans="1:12" ht="14.25" x14ac:dyDescent="0.45">
      <c r="A14" s="2">
        <v>113</v>
      </c>
      <c r="B14" s="2" t="s">
        <v>24</v>
      </c>
      <c r="C14" s="2" t="s">
        <v>12</v>
      </c>
      <c r="D14" s="2">
        <v>33</v>
      </c>
      <c r="E14" s="2">
        <v>45</v>
      </c>
      <c r="F14" s="2">
        <v>75</v>
      </c>
      <c r="G14" s="2">
        <v>3</v>
      </c>
    </row>
    <row r="15" spans="1:12" ht="14.25" x14ac:dyDescent="0.45">
      <c r="A15" s="3">
        <v>114</v>
      </c>
      <c r="B15" s="3" t="s">
        <v>25</v>
      </c>
      <c r="C15" s="3" t="s">
        <v>8</v>
      </c>
      <c r="D15" s="3">
        <v>41</v>
      </c>
      <c r="E15" s="3">
        <v>66</v>
      </c>
      <c r="F15" s="3">
        <v>89</v>
      </c>
      <c r="G15" s="3">
        <v>4</v>
      </c>
    </row>
    <row r="16" spans="1:12" ht="14.25" x14ac:dyDescent="0.45">
      <c r="A16" s="2">
        <v>115</v>
      </c>
      <c r="B16" s="2" t="s">
        <v>26</v>
      </c>
      <c r="C16" s="2" t="s">
        <v>14</v>
      </c>
      <c r="D16" s="2">
        <v>48</v>
      </c>
      <c r="E16" s="2">
        <v>78</v>
      </c>
      <c r="F16" s="2">
        <v>98</v>
      </c>
      <c r="G16" s="2">
        <v>5</v>
      </c>
    </row>
    <row r="17" spans="1:7" ht="14.25" x14ac:dyDescent="0.45">
      <c r="A17" s="3">
        <v>116</v>
      </c>
      <c r="B17" s="3" t="s">
        <v>27</v>
      </c>
      <c r="C17" s="3" t="s">
        <v>16</v>
      </c>
      <c r="D17" s="3">
        <v>26</v>
      </c>
      <c r="E17" s="3">
        <v>32</v>
      </c>
      <c r="F17" s="3">
        <v>62</v>
      </c>
      <c r="G17" s="3">
        <v>2</v>
      </c>
    </row>
    <row r="18" spans="1:7" ht="14.25" x14ac:dyDescent="0.45">
      <c r="A18" s="2">
        <v>117</v>
      </c>
      <c r="B18" s="2" t="s">
        <v>28</v>
      </c>
      <c r="C18" s="2" t="s">
        <v>12</v>
      </c>
      <c r="D18" s="2">
        <v>31</v>
      </c>
      <c r="E18" s="2">
        <v>42</v>
      </c>
      <c r="F18" s="2">
        <v>72</v>
      </c>
      <c r="G18" s="2">
        <v>3</v>
      </c>
    </row>
    <row r="19" spans="1:7" ht="14.25" x14ac:dyDescent="0.45">
      <c r="A19" s="3">
        <v>118</v>
      </c>
      <c r="B19" s="3" t="s">
        <v>29</v>
      </c>
      <c r="C19" s="3" t="s">
        <v>10</v>
      </c>
      <c r="D19" s="3">
        <v>43</v>
      </c>
      <c r="E19" s="3">
        <v>75</v>
      </c>
      <c r="F19" s="3">
        <v>93</v>
      </c>
      <c r="G19" s="3">
        <v>5</v>
      </c>
    </row>
    <row r="20" spans="1:7" ht="14.25" x14ac:dyDescent="0.45">
      <c r="A20" s="2">
        <v>119</v>
      </c>
      <c r="B20" s="2" t="s">
        <v>30</v>
      </c>
      <c r="C20" s="2" t="s">
        <v>14</v>
      </c>
      <c r="D20" s="2">
        <v>39</v>
      </c>
      <c r="E20" s="2">
        <v>60</v>
      </c>
      <c r="F20" s="2">
        <v>87</v>
      </c>
      <c r="G20" s="2">
        <v>4</v>
      </c>
    </row>
    <row r="21" spans="1:7" ht="14.25" x14ac:dyDescent="0.45">
      <c r="A21" s="3">
        <v>120</v>
      </c>
      <c r="B21" s="3" t="s">
        <v>31</v>
      </c>
      <c r="C21" s="3" t="s">
        <v>8</v>
      </c>
      <c r="D21" s="3">
        <v>36</v>
      </c>
      <c r="E21" s="3">
        <v>52</v>
      </c>
      <c r="F21" s="3">
        <v>78</v>
      </c>
      <c r="G21" s="3">
        <v>4</v>
      </c>
    </row>
    <row r="22" spans="1:7" ht="14.25" x14ac:dyDescent="0.45">
      <c r="A22" s="2">
        <v>121</v>
      </c>
      <c r="B22" s="2" t="s">
        <v>32</v>
      </c>
      <c r="C22" s="2" t="s">
        <v>16</v>
      </c>
      <c r="D22" s="2">
        <v>27</v>
      </c>
      <c r="E22" s="2">
        <v>34</v>
      </c>
      <c r="F22" s="2">
        <v>64</v>
      </c>
      <c r="G22" s="2">
        <v>2</v>
      </c>
    </row>
    <row r="23" spans="1:7" ht="14.25" x14ac:dyDescent="0.45">
      <c r="A23" s="3">
        <v>122</v>
      </c>
      <c r="B23" s="3" t="s">
        <v>33</v>
      </c>
      <c r="C23" s="3" t="s">
        <v>12</v>
      </c>
      <c r="D23" s="3">
        <v>32</v>
      </c>
      <c r="E23" s="3">
        <v>44</v>
      </c>
      <c r="F23" s="3">
        <v>74</v>
      </c>
      <c r="G23" s="3">
        <v>3</v>
      </c>
    </row>
    <row r="24" spans="1:7" ht="14.25" x14ac:dyDescent="0.45">
      <c r="A24" s="2">
        <v>123</v>
      </c>
      <c r="B24" s="2" t="s">
        <v>34</v>
      </c>
      <c r="C24" s="2" t="s">
        <v>10</v>
      </c>
      <c r="D24" s="2">
        <v>46</v>
      </c>
      <c r="E24" s="2">
        <v>77</v>
      </c>
      <c r="F24" s="2">
        <v>96</v>
      </c>
      <c r="G24" s="2">
        <v>5</v>
      </c>
    </row>
    <row r="25" spans="1:7" ht="14.25" x14ac:dyDescent="0.45">
      <c r="A25" s="3">
        <v>124</v>
      </c>
      <c r="B25" s="3" t="s">
        <v>35</v>
      </c>
      <c r="C25" s="3" t="s">
        <v>8</v>
      </c>
      <c r="D25" s="3">
        <v>34</v>
      </c>
      <c r="E25" s="3">
        <v>48</v>
      </c>
      <c r="F25" s="3">
        <v>76</v>
      </c>
      <c r="G25" s="3">
        <v>3</v>
      </c>
    </row>
    <row r="26" spans="1:7" ht="14.25" x14ac:dyDescent="0.45">
      <c r="A26" s="2">
        <v>125</v>
      </c>
      <c r="B26" s="2" t="s">
        <v>36</v>
      </c>
      <c r="C26" s="2" t="s">
        <v>14</v>
      </c>
      <c r="D26" s="2">
        <v>47</v>
      </c>
      <c r="E26" s="2">
        <v>79</v>
      </c>
      <c r="F26" s="2">
        <v>99</v>
      </c>
      <c r="G26" s="2">
        <v>5</v>
      </c>
    </row>
  </sheetData>
  <sortState xmlns:xlrd2="http://schemas.microsoft.com/office/spreadsheetml/2017/richdata2" ref="A2:G26">
    <sortCondition ref="A1:A26"/>
  </sortState>
  <mergeCells count="1">
    <mergeCell ref="I4:L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F2C1-1D62-4D00-AF42-C60CB8A6AAEF}">
  <sheetPr filterMode="1"/>
  <dimension ref="A1:J29"/>
  <sheetViews>
    <sheetView workbookViewId="0">
      <selection activeCell="G41" sqref="G41"/>
    </sheetView>
  </sheetViews>
  <sheetFormatPr defaultRowHeight="12.75" x14ac:dyDescent="0.35"/>
  <cols>
    <col min="1" max="1" width="11.46484375" bestFit="1" customWidth="1"/>
    <col min="3" max="3" width="11.53125" customWidth="1"/>
    <col min="4" max="4" width="13" customWidth="1"/>
    <col min="5" max="5" width="14.9296875" customWidth="1"/>
    <col min="6" max="6" width="16" bestFit="1" customWidth="1"/>
    <col min="7" max="7" width="17.33203125" bestFit="1" customWidth="1"/>
    <col min="9" max="9" width="11.86328125" customWidth="1"/>
  </cols>
  <sheetData>
    <row r="1" spans="1:10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25" x14ac:dyDescent="0.45">
      <c r="A2" s="2">
        <v>101</v>
      </c>
      <c r="B2" s="2" t="s">
        <v>7</v>
      </c>
      <c r="C2" s="2" t="s">
        <v>8</v>
      </c>
      <c r="D2" s="2">
        <v>35</v>
      </c>
      <c r="E2" s="2">
        <v>50</v>
      </c>
      <c r="F2" s="2">
        <v>80</v>
      </c>
      <c r="G2" s="2">
        <v>4</v>
      </c>
    </row>
    <row r="3" spans="1:10" ht="14.25" hidden="1" x14ac:dyDescent="0.45">
      <c r="A3" s="3">
        <v>102</v>
      </c>
      <c r="B3" s="3" t="s">
        <v>9</v>
      </c>
      <c r="C3" s="3" t="s">
        <v>10</v>
      </c>
      <c r="D3" s="3">
        <v>40</v>
      </c>
      <c r="E3" s="3">
        <v>65</v>
      </c>
      <c r="F3" s="3">
        <v>90</v>
      </c>
      <c r="G3" s="3">
        <v>5</v>
      </c>
    </row>
    <row r="4" spans="1:10" ht="14.25" hidden="1" x14ac:dyDescent="0.45">
      <c r="A4" s="2">
        <v>103</v>
      </c>
      <c r="B4" s="2" t="s">
        <v>11</v>
      </c>
      <c r="C4" s="2" t="s">
        <v>12</v>
      </c>
      <c r="D4" s="2">
        <v>30</v>
      </c>
      <c r="E4" s="2">
        <v>40</v>
      </c>
      <c r="F4" s="2">
        <v>70</v>
      </c>
      <c r="G4" s="2">
        <v>3</v>
      </c>
    </row>
    <row r="5" spans="1:10" ht="14.25" hidden="1" x14ac:dyDescent="0.45">
      <c r="A5" s="3">
        <v>104</v>
      </c>
      <c r="B5" s="3" t="s">
        <v>13</v>
      </c>
      <c r="C5" s="3" t="s">
        <v>14</v>
      </c>
      <c r="D5" s="3">
        <v>45</v>
      </c>
      <c r="E5" s="3">
        <v>75</v>
      </c>
      <c r="F5" s="3">
        <v>95</v>
      </c>
      <c r="G5" s="3">
        <v>5</v>
      </c>
    </row>
    <row r="6" spans="1:10" ht="14.25" hidden="1" x14ac:dyDescent="0.45">
      <c r="A6" s="2">
        <v>105</v>
      </c>
      <c r="B6" s="2" t="s">
        <v>15</v>
      </c>
      <c r="C6" s="2" t="s">
        <v>16</v>
      </c>
      <c r="D6" s="2">
        <v>25</v>
      </c>
      <c r="E6" s="2">
        <v>30</v>
      </c>
      <c r="F6" s="2">
        <v>60</v>
      </c>
      <c r="G6" s="2">
        <v>2</v>
      </c>
    </row>
    <row r="7" spans="1:10" ht="14.25" hidden="1" x14ac:dyDescent="0.45">
      <c r="A7" s="3">
        <v>106</v>
      </c>
      <c r="B7" s="3" t="s">
        <v>17</v>
      </c>
      <c r="C7" s="3" t="s">
        <v>8</v>
      </c>
      <c r="D7" s="3">
        <v>38</v>
      </c>
      <c r="E7" s="3">
        <v>58</v>
      </c>
      <c r="F7" s="3">
        <v>85</v>
      </c>
      <c r="G7" s="3">
        <v>4</v>
      </c>
      <c r="H7" s="16"/>
      <c r="I7" s="14"/>
      <c r="J7" s="11"/>
    </row>
    <row r="8" spans="1:10" ht="14.25" hidden="1" x14ac:dyDescent="0.45">
      <c r="A8" s="2">
        <v>107</v>
      </c>
      <c r="B8" s="2" t="s">
        <v>18</v>
      </c>
      <c r="C8" s="2" t="s">
        <v>14</v>
      </c>
      <c r="D8" s="2">
        <v>50</v>
      </c>
      <c r="E8" s="2">
        <v>80</v>
      </c>
      <c r="F8" s="2">
        <v>100</v>
      </c>
      <c r="G8" s="2">
        <v>5</v>
      </c>
    </row>
    <row r="9" spans="1:10" ht="14.25" hidden="1" x14ac:dyDescent="0.45">
      <c r="A9" s="3">
        <v>108</v>
      </c>
      <c r="B9" s="3" t="s">
        <v>19</v>
      </c>
      <c r="C9" s="3" t="s">
        <v>12</v>
      </c>
      <c r="D9" s="3">
        <v>28</v>
      </c>
      <c r="E9" s="3">
        <v>35</v>
      </c>
      <c r="F9" s="3">
        <v>65</v>
      </c>
      <c r="G9" s="3">
        <v>3</v>
      </c>
    </row>
    <row r="10" spans="1:10" ht="14.25" hidden="1" x14ac:dyDescent="0.45">
      <c r="A10" s="2">
        <v>109</v>
      </c>
      <c r="B10" s="2" t="s">
        <v>20</v>
      </c>
      <c r="C10" s="2" t="s">
        <v>10</v>
      </c>
      <c r="D10" s="2">
        <v>42</v>
      </c>
      <c r="E10" s="2">
        <v>70</v>
      </c>
      <c r="F10" s="2">
        <v>92</v>
      </c>
      <c r="G10" s="2">
        <v>5</v>
      </c>
    </row>
    <row r="11" spans="1:10" ht="14.25" x14ac:dyDescent="0.45">
      <c r="A11" s="3">
        <v>110</v>
      </c>
      <c r="B11" s="3" t="s">
        <v>21</v>
      </c>
      <c r="C11" s="3" t="s">
        <v>8</v>
      </c>
      <c r="D11" s="3">
        <v>37</v>
      </c>
      <c r="E11" s="3">
        <v>55</v>
      </c>
      <c r="F11" s="3">
        <v>83</v>
      </c>
      <c r="G11" s="3">
        <v>4</v>
      </c>
    </row>
    <row r="12" spans="1:10" ht="14.25" hidden="1" x14ac:dyDescent="0.45">
      <c r="A12" s="2">
        <v>111</v>
      </c>
      <c r="B12" s="2" t="s">
        <v>22</v>
      </c>
      <c r="C12" s="2" t="s">
        <v>16</v>
      </c>
      <c r="D12" s="2">
        <v>29</v>
      </c>
      <c r="E12" s="2">
        <v>38</v>
      </c>
      <c r="F12" s="2">
        <v>68</v>
      </c>
      <c r="G12" s="2">
        <v>3</v>
      </c>
    </row>
    <row r="13" spans="1:10" ht="14.25" hidden="1" x14ac:dyDescent="0.45">
      <c r="A13" s="3">
        <v>112</v>
      </c>
      <c r="B13" s="3" t="s">
        <v>23</v>
      </c>
      <c r="C13" s="3" t="s">
        <v>10</v>
      </c>
      <c r="D13" s="3">
        <v>44</v>
      </c>
      <c r="E13" s="3">
        <v>73</v>
      </c>
      <c r="F13" s="3">
        <v>94</v>
      </c>
      <c r="G13" s="3">
        <v>5</v>
      </c>
    </row>
    <row r="14" spans="1:10" ht="14.25" hidden="1" x14ac:dyDescent="0.45">
      <c r="A14" s="2">
        <v>113</v>
      </c>
      <c r="B14" s="2" t="s">
        <v>24</v>
      </c>
      <c r="C14" s="2" t="s">
        <v>12</v>
      </c>
      <c r="D14" s="2">
        <v>33</v>
      </c>
      <c r="E14" s="2">
        <v>45</v>
      </c>
      <c r="F14" s="2">
        <v>75</v>
      </c>
      <c r="G14" s="2">
        <v>3</v>
      </c>
    </row>
    <row r="15" spans="1:10" ht="14.25" hidden="1" x14ac:dyDescent="0.45">
      <c r="A15" s="3">
        <v>114</v>
      </c>
      <c r="B15" s="3" t="s">
        <v>25</v>
      </c>
      <c r="C15" s="3" t="s">
        <v>8</v>
      </c>
      <c r="D15" s="3">
        <v>41</v>
      </c>
      <c r="E15" s="3">
        <v>66</v>
      </c>
      <c r="F15" s="3">
        <v>89</v>
      </c>
      <c r="G15" s="3">
        <v>4</v>
      </c>
    </row>
    <row r="16" spans="1:10" ht="14.25" hidden="1" x14ac:dyDescent="0.45">
      <c r="A16" s="2">
        <v>115</v>
      </c>
      <c r="B16" s="2" t="s">
        <v>26</v>
      </c>
      <c r="C16" s="2" t="s">
        <v>14</v>
      </c>
      <c r="D16" s="2">
        <v>48</v>
      </c>
      <c r="E16" s="2">
        <v>78</v>
      </c>
      <c r="F16" s="2">
        <v>98</v>
      </c>
      <c r="G16" s="2">
        <v>5</v>
      </c>
    </row>
    <row r="17" spans="1:7" ht="14.25" hidden="1" x14ac:dyDescent="0.45">
      <c r="A17" s="3">
        <v>116</v>
      </c>
      <c r="B17" s="3" t="s">
        <v>27</v>
      </c>
      <c r="C17" s="3" t="s">
        <v>16</v>
      </c>
      <c r="D17" s="3">
        <v>26</v>
      </c>
      <c r="E17" s="3">
        <v>32</v>
      </c>
      <c r="F17" s="3">
        <v>62</v>
      </c>
      <c r="G17" s="3">
        <v>2</v>
      </c>
    </row>
    <row r="18" spans="1:7" ht="14.25" hidden="1" x14ac:dyDescent="0.45">
      <c r="A18" s="2">
        <v>117</v>
      </c>
      <c r="B18" s="2" t="s">
        <v>28</v>
      </c>
      <c r="C18" s="2" t="s">
        <v>12</v>
      </c>
      <c r="D18" s="2">
        <v>31</v>
      </c>
      <c r="E18" s="2">
        <v>42</v>
      </c>
      <c r="F18" s="2">
        <v>72</v>
      </c>
      <c r="G18" s="2">
        <v>3</v>
      </c>
    </row>
    <row r="19" spans="1:7" ht="14.25" hidden="1" x14ac:dyDescent="0.45">
      <c r="A19" s="3">
        <v>118</v>
      </c>
      <c r="B19" s="3" t="s">
        <v>29</v>
      </c>
      <c r="C19" s="3" t="s">
        <v>10</v>
      </c>
      <c r="D19" s="3">
        <v>43</v>
      </c>
      <c r="E19" s="3">
        <v>75</v>
      </c>
      <c r="F19" s="3">
        <v>93</v>
      </c>
      <c r="G19" s="3">
        <v>5</v>
      </c>
    </row>
    <row r="20" spans="1:7" ht="14.25" hidden="1" x14ac:dyDescent="0.45">
      <c r="A20" s="2">
        <v>119</v>
      </c>
      <c r="B20" s="2" t="s">
        <v>30</v>
      </c>
      <c r="C20" s="2" t="s">
        <v>14</v>
      </c>
      <c r="D20" s="2">
        <v>39</v>
      </c>
      <c r="E20" s="2">
        <v>60</v>
      </c>
      <c r="F20" s="2">
        <v>87</v>
      </c>
      <c r="G20" s="2">
        <v>4</v>
      </c>
    </row>
    <row r="21" spans="1:7" ht="14.25" x14ac:dyDescent="0.45">
      <c r="A21" s="3">
        <v>120</v>
      </c>
      <c r="B21" s="3" t="s">
        <v>31</v>
      </c>
      <c r="C21" s="3" t="s">
        <v>8</v>
      </c>
      <c r="D21" s="3">
        <v>36</v>
      </c>
      <c r="E21" s="3">
        <v>52</v>
      </c>
      <c r="F21" s="3">
        <v>78</v>
      </c>
      <c r="G21" s="3">
        <v>4</v>
      </c>
    </row>
    <row r="22" spans="1:7" ht="14.25" hidden="1" x14ac:dyDescent="0.45">
      <c r="A22" s="2">
        <v>121</v>
      </c>
      <c r="B22" s="2" t="s">
        <v>32</v>
      </c>
      <c r="C22" s="2" t="s">
        <v>16</v>
      </c>
      <c r="D22" s="2">
        <v>27</v>
      </c>
      <c r="E22" s="2">
        <v>34</v>
      </c>
      <c r="F22" s="2">
        <v>64</v>
      </c>
      <c r="G22" s="2">
        <v>2</v>
      </c>
    </row>
    <row r="23" spans="1:7" ht="14.25" hidden="1" x14ac:dyDescent="0.45">
      <c r="A23" s="3">
        <v>122</v>
      </c>
      <c r="B23" s="3" t="s">
        <v>33</v>
      </c>
      <c r="C23" s="3" t="s">
        <v>12</v>
      </c>
      <c r="D23" s="3">
        <v>32</v>
      </c>
      <c r="E23" s="3">
        <v>44</v>
      </c>
      <c r="F23" s="3">
        <v>74</v>
      </c>
      <c r="G23" s="3">
        <v>3</v>
      </c>
    </row>
    <row r="24" spans="1:7" ht="14.25" hidden="1" x14ac:dyDescent="0.45">
      <c r="A24" s="2">
        <v>123</v>
      </c>
      <c r="B24" s="2" t="s">
        <v>34</v>
      </c>
      <c r="C24" s="2" t="s">
        <v>10</v>
      </c>
      <c r="D24" s="2">
        <v>46</v>
      </c>
      <c r="E24" s="2">
        <v>77</v>
      </c>
      <c r="F24" s="2">
        <v>96</v>
      </c>
      <c r="G24" s="2">
        <v>5</v>
      </c>
    </row>
    <row r="25" spans="1:7" ht="14.25" hidden="1" x14ac:dyDescent="0.45">
      <c r="A25" s="3">
        <v>124</v>
      </c>
      <c r="B25" s="3" t="s">
        <v>35</v>
      </c>
      <c r="C25" s="3" t="s">
        <v>8</v>
      </c>
      <c r="D25" s="3">
        <v>34</v>
      </c>
      <c r="E25" s="3">
        <v>48</v>
      </c>
      <c r="F25" s="3">
        <v>76</v>
      </c>
      <c r="G25" s="3">
        <v>3</v>
      </c>
    </row>
    <row r="26" spans="1:7" ht="14.25" hidden="1" x14ac:dyDescent="0.45">
      <c r="A26" s="2">
        <v>125</v>
      </c>
      <c r="B26" s="2" t="s">
        <v>36</v>
      </c>
      <c r="C26" s="2" t="s">
        <v>14</v>
      </c>
      <c r="D26" s="2">
        <v>47</v>
      </c>
      <c r="E26" s="2">
        <v>79</v>
      </c>
      <c r="F26" s="2">
        <v>99</v>
      </c>
      <c r="G26" s="2">
        <v>5</v>
      </c>
    </row>
    <row r="29" spans="1:7" x14ac:dyDescent="0.35">
      <c r="C29" s="16" t="s">
        <v>44</v>
      </c>
      <c r="D29" s="14"/>
      <c r="E29" s="11">
        <f>AVERAGE(D2:D26)</f>
        <v>37.04</v>
      </c>
    </row>
  </sheetData>
  <autoFilter ref="A1:J26" xr:uid="{63C7F2C1-1D62-4D00-AF42-C60CB8A6AAEF}">
    <filterColumn colId="3">
      <customFilters>
        <customFilter operator="lessThanOrEqual" val="37.04"/>
      </customFilters>
    </filterColumn>
    <filterColumn colId="6">
      <filters>
        <filter val="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91A4-4CDF-45C4-8056-DD57F1F6695F}">
  <dimension ref="A1:H31"/>
  <sheetViews>
    <sheetView topLeftCell="A19" workbookViewId="0">
      <selection activeCell="E34" sqref="E34"/>
    </sheetView>
  </sheetViews>
  <sheetFormatPr defaultRowHeight="12.75" x14ac:dyDescent="0.35"/>
  <cols>
    <col min="1" max="1" width="13.33203125" customWidth="1"/>
    <col min="2" max="2" width="9.6640625" customWidth="1"/>
    <col min="3" max="3" width="12.46484375" customWidth="1"/>
    <col min="4" max="4" width="14.796875" customWidth="1"/>
    <col min="5" max="5" width="16.86328125" customWidth="1"/>
    <col min="6" max="6" width="17.796875" customWidth="1"/>
    <col min="7" max="7" width="19.06640625" customWidth="1"/>
    <col min="8" max="8" width="33" bestFit="1" customWidth="1"/>
  </cols>
  <sheetData>
    <row r="1" spans="1:8" ht="14.25" x14ac:dyDescent="0.4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45</v>
      </c>
    </row>
    <row r="2" spans="1:8" ht="14.25" x14ac:dyDescent="0.45">
      <c r="A2" s="9">
        <v>118</v>
      </c>
      <c r="B2" s="3" t="s">
        <v>29</v>
      </c>
      <c r="C2" s="3" t="s">
        <v>10</v>
      </c>
      <c r="D2" s="3">
        <v>43</v>
      </c>
      <c r="E2" s="3">
        <v>75</v>
      </c>
      <c r="F2" s="3">
        <v>93</v>
      </c>
      <c r="G2" s="3">
        <v>5</v>
      </c>
      <c r="H2">
        <f>Table25[[#This Row],[Tasks_Completed]]/Table25[[#This Row],[Hours_Worked]]</f>
        <v>1.7441860465116279</v>
      </c>
    </row>
    <row r="3" spans="1:8" ht="14.25" x14ac:dyDescent="0.45">
      <c r="A3" s="8">
        <v>125</v>
      </c>
      <c r="B3" s="2" t="s">
        <v>36</v>
      </c>
      <c r="C3" s="2" t="s">
        <v>14</v>
      </c>
      <c r="D3" s="2">
        <v>47</v>
      </c>
      <c r="E3" s="2">
        <v>79</v>
      </c>
      <c r="F3" s="2">
        <v>99</v>
      </c>
      <c r="G3" s="2">
        <v>5</v>
      </c>
      <c r="H3">
        <f>Table25[[#This Row],[Tasks_Completed]]/Table25[[#This Row],[Hours_Worked]]</f>
        <v>1.6808510638297873</v>
      </c>
    </row>
    <row r="4" spans="1:8" ht="14.25" x14ac:dyDescent="0.45">
      <c r="A4" s="8">
        <v>123</v>
      </c>
      <c r="B4" s="2" t="s">
        <v>34</v>
      </c>
      <c r="C4" s="2" t="s">
        <v>10</v>
      </c>
      <c r="D4" s="2">
        <v>46</v>
      </c>
      <c r="E4" s="2">
        <v>77</v>
      </c>
      <c r="F4" s="2">
        <v>96</v>
      </c>
      <c r="G4" s="2">
        <v>5</v>
      </c>
      <c r="H4">
        <f>Table25[[#This Row],[Tasks_Completed]]/Table25[[#This Row],[Hours_Worked]]</f>
        <v>1.673913043478261</v>
      </c>
    </row>
    <row r="5" spans="1:8" ht="14.25" x14ac:dyDescent="0.45">
      <c r="A5" s="8">
        <v>109</v>
      </c>
      <c r="B5" s="2" t="s">
        <v>20</v>
      </c>
      <c r="C5" s="2" t="s">
        <v>10</v>
      </c>
      <c r="D5" s="2">
        <v>42</v>
      </c>
      <c r="E5" s="2">
        <v>70</v>
      </c>
      <c r="F5" s="2">
        <v>92</v>
      </c>
      <c r="G5" s="2">
        <v>5</v>
      </c>
      <c r="H5">
        <f>Table25[[#This Row],[Tasks_Completed]]/Table25[[#This Row],[Hours_Worked]]</f>
        <v>1.6666666666666667</v>
      </c>
    </row>
    <row r="6" spans="1:8" ht="14.25" x14ac:dyDescent="0.45">
      <c r="A6" s="9">
        <v>104</v>
      </c>
      <c r="B6" s="3" t="s">
        <v>13</v>
      </c>
      <c r="C6" s="3" t="s">
        <v>14</v>
      </c>
      <c r="D6" s="3">
        <v>45</v>
      </c>
      <c r="E6" s="3">
        <v>75</v>
      </c>
      <c r="F6" s="3">
        <v>95</v>
      </c>
      <c r="G6" s="3">
        <v>5</v>
      </c>
      <c r="H6">
        <f>Table25[[#This Row],[Tasks_Completed]]/Table25[[#This Row],[Hours_Worked]]</f>
        <v>1.6666666666666667</v>
      </c>
    </row>
    <row r="7" spans="1:8" ht="14.25" x14ac:dyDescent="0.45">
      <c r="A7" s="9">
        <v>112</v>
      </c>
      <c r="B7" s="3" t="s">
        <v>23</v>
      </c>
      <c r="C7" s="3" t="s">
        <v>10</v>
      </c>
      <c r="D7" s="3">
        <v>44</v>
      </c>
      <c r="E7" s="3">
        <v>73</v>
      </c>
      <c r="F7" s="3">
        <v>94</v>
      </c>
      <c r="G7" s="3">
        <v>5</v>
      </c>
      <c r="H7">
        <f>Table25[[#This Row],[Tasks_Completed]]/Table25[[#This Row],[Hours_Worked]]</f>
        <v>1.6590909090909092</v>
      </c>
    </row>
    <row r="8" spans="1:8" ht="14.25" x14ac:dyDescent="0.45">
      <c r="A8" s="9">
        <v>102</v>
      </c>
      <c r="B8" s="3" t="s">
        <v>9</v>
      </c>
      <c r="C8" s="3" t="s">
        <v>10</v>
      </c>
      <c r="D8" s="3">
        <v>40</v>
      </c>
      <c r="E8" s="3">
        <v>65</v>
      </c>
      <c r="F8" s="3">
        <v>90</v>
      </c>
      <c r="G8" s="3">
        <v>5</v>
      </c>
      <c r="H8">
        <f>Table25[[#This Row],[Tasks_Completed]]/Table25[[#This Row],[Hours_Worked]]</f>
        <v>1.625</v>
      </c>
    </row>
    <row r="9" spans="1:8" ht="14.25" x14ac:dyDescent="0.45">
      <c r="A9" s="8">
        <v>115</v>
      </c>
      <c r="B9" s="2" t="s">
        <v>26</v>
      </c>
      <c r="C9" s="2" t="s">
        <v>14</v>
      </c>
      <c r="D9" s="2">
        <v>48</v>
      </c>
      <c r="E9" s="2">
        <v>78</v>
      </c>
      <c r="F9" s="2">
        <v>98</v>
      </c>
      <c r="G9" s="2">
        <v>5</v>
      </c>
      <c r="H9">
        <f>Table25[[#This Row],[Tasks_Completed]]/Table25[[#This Row],[Hours_Worked]]</f>
        <v>1.625</v>
      </c>
    </row>
    <row r="10" spans="1:8" ht="14.25" x14ac:dyDescent="0.45">
      <c r="A10" s="9">
        <v>114</v>
      </c>
      <c r="B10" s="3" t="s">
        <v>25</v>
      </c>
      <c r="C10" s="3" t="s">
        <v>8</v>
      </c>
      <c r="D10" s="3">
        <v>41</v>
      </c>
      <c r="E10" s="3">
        <v>66</v>
      </c>
      <c r="F10" s="3">
        <v>89</v>
      </c>
      <c r="G10" s="3">
        <v>4</v>
      </c>
      <c r="H10">
        <f>Table25[[#This Row],[Tasks_Completed]]/Table25[[#This Row],[Hours_Worked]]</f>
        <v>1.6097560975609757</v>
      </c>
    </row>
    <row r="11" spans="1:8" ht="14.25" x14ac:dyDescent="0.45">
      <c r="A11" s="8">
        <v>107</v>
      </c>
      <c r="B11" s="2" t="s">
        <v>18</v>
      </c>
      <c r="C11" s="2" t="s">
        <v>14</v>
      </c>
      <c r="D11" s="2">
        <v>50</v>
      </c>
      <c r="E11" s="2">
        <v>80</v>
      </c>
      <c r="F11" s="2">
        <v>100</v>
      </c>
      <c r="G11" s="2">
        <v>5</v>
      </c>
      <c r="H11">
        <f>Table25[[#This Row],[Tasks_Completed]]/Table25[[#This Row],[Hours_Worked]]</f>
        <v>1.6</v>
      </c>
    </row>
    <row r="12" spans="1:8" ht="14.25" x14ac:dyDescent="0.45">
      <c r="A12" s="8">
        <v>119</v>
      </c>
      <c r="B12" s="2" t="s">
        <v>30</v>
      </c>
      <c r="C12" s="2" t="s">
        <v>14</v>
      </c>
      <c r="D12" s="2">
        <v>39</v>
      </c>
      <c r="E12" s="2">
        <v>60</v>
      </c>
      <c r="F12" s="2">
        <v>87</v>
      </c>
      <c r="G12" s="2">
        <v>4</v>
      </c>
      <c r="H12">
        <f>Table25[[#This Row],[Tasks_Completed]]/Table25[[#This Row],[Hours_Worked]]</f>
        <v>1.5384615384615385</v>
      </c>
    </row>
    <row r="13" spans="1:8" ht="14.25" x14ac:dyDescent="0.45">
      <c r="A13" s="9">
        <v>106</v>
      </c>
      <c r="B13" s="3" t="s">
        <v>17</v>
      </c>
      <c r="C13" s="3" t="s">
        <v>8</v>
      </c>
      <c r="D13" s="3">
        <v>38</v>
      </c>
      <c r="E13" s="3">
        <v>58</v>
      </c>
      <c r="F13" s="3">
        <v>85</v>
      </c>
      <c r="G13" s="3">
        <v>4</v>
      </c>
      <c r="H13">
        <f>Table25[[#This Row],[Tasks_Completed]]/Table25[[#This Row],[Hours_Worked]]</f>
        <v>1.5263157894736843</v>
      </c>
    </row>
    <row r="14" spans="1:8" ht="14.25" x14ac:dyDescent="0.45">
      <c r="A14" s="9">
        <v>110</v>
      </c>
      <c r="B14" s="3" t="s">
        <v>21</v>
      </c>
      <c r="C14" s="3" t="s">
        <v>8</v>
      </c>
      <c r="D14" s="3">
        <v>37</v>
      </c>
      <c r="E14" s="3">
        <v>55</v>
      </c>
      <c r="F14" s="3">
        <v>83</v>
      </c>
      <c r="G14" s="3">
        <v>4</v>
      </c>
      <c r="H14">
        <f>Table25[[#This Row],[Tasks_Completed]]/Table25[[#This Row],[Hours_Worked]]</f>
        <v>1.4864864864864864</v>
      </c>
    </row>
    <row r="15" spans="1:8" ht="14.25" x14ac:dyDescent="0.45">
      <c r="A15" s="9">
        <v>120</v>
      </c>
      <c r="B15" s="3" t="s">
        <v>31</v>
      </c>
      <c r="C15" s="3" t="s">
        <v>8</v>
      </c>
      <c r="D15" s="3">
        <v>36</v>
      </c>
      <c r="E15" s="3">
        <v>52</v>
      </c>
      <c r="F15" s="3">
        <v>78</v>
      </c>
      <c r="G15" s="3">
        <v>4</v>
      </c>
      <c r="H15">
        <f>Table25[[#This Row],[Tasks_Completed]]/Table25[[#This Row],[Hours_Worked]]</f>
        <v>1.4444444444444444</v>
      </c>
    </row>
    <row r="16" spans="1:8" ht="14.25" x14ac:dyDescent="0.45">
      <c r="A16" s="8">
        <v>101</v>
      </c>
      <c r="B16" s="2" t="s">
        <v>7</v>
      </c>
      <c r="C16" s="2" t="s">
        <v>8</v>
      </c>
      <c r="D16" s="2">
        <v>35</v>
      </c>
      <c r="E16" s="2">
        <v>50</v>
      </c>
      <c r="F16" s="2">
        <v>80</v>
      </c>
      <c r="G16" s="2">
        <v>4</v>
      </c>
      <c r="H16">
        <f>Table25[[#This Row],[Tasks_Completed]]/Table25[[#This Row],[Hours_Worked]]</f>
        <v>1.4285714285714286</v>
      </c>
    </row>
    <row r="17" spans="1:8" ht="14.25" x14ac:dyDescent="0.45">
      <c r="A17" s="9">
        <v>124</v>
      </c>
      <c r="B17" s="3" t="s">
        <v>35</v>
      </c>
      <c r="C17" s="3" t="s">
        <v>8</v>
      </c>
      <c r="D17" s="3">
        <v>34</v>
      </c>
      <c r="E17" s="3">
        <v>48</v>
      </c>
      <c r="F17" s="3">
        <v>76</v>
      </c>
      <c r="G17" s="3">
        <v>3</v>
      </c>
      <c r="H17">
        <f>Table25[[#This Row],[Tasks_Completed]]/Table25[[#This Row],[Hours_Worked]]</f>
        <v>1.411764705882353</v>
      </c>
    </row>
    <row r="18" spans="1:8" ht="14.25" x14ac:dyDescent="0.45">
      <c r="A18" s="9">
        <v>122</v>
      </c>
      <c r="B18" s="3" t="s">
        <v>33</v>
      </c>
      <c r="C18" s="3" t="s">
        <v>12</v>
      </c>
      <c r="D18" s="3">
        <v>32</v>
      </c>
      <c r="E18" s="3">
        <v>44</v>
      </c>
      <c r="F18" s="3">
        <v>74</v>
      </c>
      <c r="G18" s="3">
        <v>3</v>
      </c>
      <c r="H18">
        <f>Table25[[#This Row],[Tasks_Completed]]/Table25[[#This Row],[Hours_Worked]]</f>
        <v>1.375</v>
      </c>
    </row>
    <row r="19" spans="1:8" ht="14.25" x14ac:dyDescent="0.45">
      <c r="A19" s="8">
        <v>113</v>
      </c>
      <c r="B19" s="2" t="s">
        <v>24</v>
      </c>
      <c r="C19" s="2" t="s">
        <v>12</v>
      </c>
      <c r="D19" s="2">
        <v>33</v>
      </c>
      <c r="E19" s="2">
        <v>45</v>
      </c>
      <c r="F19" s="2">
        <v>75</v>
      </c>
      <c r="G19" s="2">
        <v>3</v>
      </c>
      <c r="H19">
        <f>Table25[[#This Row],[Tasks_Completed]]/Table25[[#This Row],[Hours_Worked]]</f>
        <v>1.3636363636363635</v>
      </c>
    </row>
    <row r="20" spans="1:8" ht="14.25" x14ac:dyDescent="0.45">
      <c r="A20" s="8">
        <v>117</v>
      </c>
      <c r="B20" s="2" t="s">
        <v>28</v>
      </c>
      <c r="C20" s="2" t="s">
        <v>12</v>
      </c>
      <c r="D20" s="2">
        <v>31</v>
      </c>
      <c r="E20" s="2">
        <v>42</v>
      </c>
      <c r="F20" s="2">
        <v>72</v>
      </c>
      <c r="G20" s="2">
        <v>3</v>
      </c>
      <c r="H20">
        <f>Table25[[#This Row],[Tasks_Completed]]/Table25[[#This Row],[Hours_Worked]]</f>
        <v>1.3548387096774193</v>
      </c>
    </row>
    <row r="21" spans="1:8" ht="14.25" x14ac:dyDescent="0.45">
      <c r="A21" s="8">
        <v>103</v>
      </c>
      <c r="B21" s="2" t="s">
        <v>11</v>
      </c>
      <c r="C21" s="2" t="s">
        <v>12</v>
      </c>
      <c r="D21" s="2">
        <v>30</v>
      </c>
      <c r="E21" s="2">
        <v>40</v>
      </c>
      <c r="F21" s="2">
        <v>70</v>
      </c>
      <c r="G21" s="2">
        <v>3</v>
      </c>
      <c r="H21">
        <f>Table25[[#This Row],[Tasks_Completed]]/Table25[[#This Row],[Hours_Worked]]</f>
        <v>1.3333333333333333</v>
      </c>
    </row>
    <row r="22" spans="1:8" ht="14.25" x14ac:dyDescent="0.45">
      <c r="A22" s="8">
        <v>111</v>
      </c>
      <c r="B22" s="2" t="s">
        <v>22</v>
      </c>
      <c r="C22" s="2" t="s">
        <v>16</v>
      </c>
      <c r="D22" s="2">
        <v>29</v>
      </c>
      <c r="E22" s="2">
        <v>38</v>
      </c>
      <c r="F22" s="2">
        <v>68</v>
      </c>
      <c r="G22" s="2">
        <v>3</v>
      </c>
      <c r="H22">
        <f>Table25[[#This Row],[Tasks_Completed]]/Table25[[#This Row],[Hours_Worked]]</f>
        <v>1.3103448275862069</v>
      </c>
    </row>
    <row r="23" spans="1:8" ht="14.25" x14ac:dyDescent="0.45">
      <c r="A23" s="8">
        <v>121</v>
      </c>
      <c r="B23" s="2" t="s">
        <v>32</v>
      </c>
      <c r="C23" s="2" t="s">
        <v>16</v>
      </c>
      <c r="D23" s="2">
        <v>27</v>
      </c>
      <c r="E23" s="2">
        <v>34</v>
      </c>
      <c r="F23" s="2">
        <v>64</v>
      </c>
      <c r="G23" s="2">
        <v>2</v>
      </c>
      <c r="H23">
        <f>Table25[[#This Row],[Tasks_Completed]]/Table25[[#This Row],[Hours_Worked]]</f>
        <v>1.2592592592592593</v>
      </c>
    </row>
    <row r="24" spans="1:8" ht="14.25" x14ac:dyDescent="0.45">
      <c r="A24" s="9">
        <v>108</v>
      </c>
      <c r="B24" s="3" t="s">
        <v>19</v>
      </c>
      <c r="C24" s="3" t="s">
        <v>12</v>
      </c>
      <c r="D24" s="3">
        <v>28</v>
      </c>
      <c r="E24" s="3">
        <v>35</v>
      </c>
      <c r="F24" s="3">
        <v>65</v>
      </c>
      <c r="G24" s="3">
        <v>3</v>
      </c>
      <c r="H24">
        <f>Table25[[#This Row],[Tasks_Completed]]/Table25[[#This Row],[Hours_Worked]]</f>
        <v>1.25</v>
      </c>
    </row>
    <row r="25" spans="1:8" ht="14.25" x14ac:dyDescent="0.45">
      <c r="A25" s="9">
        <v>116</v>
      </c>
      <c r="B25" s="3" t="s">
        <v>27</v>
      </c>
      <c r="C25" s="3" t="s">
        <v>16</v>
      </c>
      <c r="D25" s="3">
        <v>26</v>
      </c>
      <c r="E25" s="3">
        <v>32</v>
      </c>
      <c r="F25" s="3">
        <v>62</v>
      </c>
      <c r="G25" s="3">
        <v>2</v>
      </c>
      <c r="H25">
        <f>Table25[[#This Row],[Tasks_Completed]]/Table25[[#This Row],[Hours_Worked]]</f>
        <v>1.2307692307692308</v>
      </c>
    </row>
    <row r="26" spans="1:8" ht="14.25" x14ac:dyDescent="0.45">
      <c r="A26" s="8">
        <v>105</v>
      </c>
      <c r="B26" s="2" t="s">
        <v>15</v>
      </c>
      <c r="C26" s="2" t="s">
        <v>16</v>
      </c>
      <c r="D26" s="2">
        <v>25</v>
      </c>
      <c r="E26" s="2">
        <v>30</v>
      </c>
      <c r="F26" s="2">
        <v>60</v>
      </c>
      <c r="G26" s="2">
        <v>2</v>
      </c>
      <c r="H26">
        <f>Table25[[#This Row],[Tasks_Completed]]/Table25[[#This Row],[Hours_Worked]]</f>
        <v>1.2</v>
      </c>
    </row>
    <row r="29" spans="1:8" x14ac:dyDescent="0.35">
      <c r="A29" s="12" t="s">
        <v>46</v>
      </c>
      <c r="B29" s="12"/>
      <c r="C29" s="12"/>
      <c r="D29">
        <f>MAX(Table25[Tasks_per_hour])</f>
        <v>1.7441860465116279</v>
      </c>
    </row>
    <row r="31" spans="1:8" x14ac:dyDescent="0.35">
      <c r="A31" s="15" t="s">
        <v>47</v>
      </c>
      <c r="B31" s="15"/>
      <c r="C31" s="15"/>
      <c r="D31" s="15"/>
      <c r="E31">
        <f>_xlfn.XLOOKUP(D29,Table25[Tasks_per_hour],Table25[Performance_Rating],,,-1)</f>
        <v>5</v>
      </c>
    </row>
  </sheetData>
  <mergeCells count="2">
    <mergeCell ref="A29:C29"/>
    <mergeCell ref="A31:D3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Shourya Gupta</dc:creator>
  <cp:lastModifiedBy>shourya_087@outlook.com</cp:lastModifiedBy>
  <cp:lastPrinted>2026-01-11T06:31:53Z</cp:lastPrinted>
  <dcterms:created xsi:type="dcterms:W3CDTF">2026-01-11T06:33:23Z</dcterms:created>
  <dcterms:modified xsi:type="dcterms:W3CDTF">2026-01-11T06:33:23Z</dcterms:modified>
</cp:coreProperties>
</file>